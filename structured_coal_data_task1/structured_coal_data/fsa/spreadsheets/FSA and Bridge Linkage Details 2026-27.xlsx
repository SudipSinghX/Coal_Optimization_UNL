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A78AFC0-312C-4158-A85B-770BF6283539}" xr6:coauthVersionLast="47" xr6:coauthVersionMax="47" xr10:uidLastSave="{00000000-0000-0000-0000-000000000000}"/>
  <bookViews>
    <workbookView xWindow="-120" yWindow="-120" windowWidth="29040" windowHeight="15840" xr2:uid="{FFE36999-5EED-417A-B0D1-D60CF5C60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4" i="1"/>
  <c r="F11" i="1"/>
  <c r="F7" i="1"/>
  <c r="C15" i="1"/>
  <c r="C9" i="1"/>
</calcChain>
</file>

<file path=xl/sharedStrings.xml><?xml version="1.0" encoding="utf-8"?>
<sst xmlns="http://schemas.openxmlformats.org/spreadsheetml/2006/main" count="50" uniqueCount="31">
  <si>
    <t xml:space="preserve">FSA </t>
  </si>
  <si>
    <t xml:space="preserve">Plant </t>
  </si>
  <si>
    <t>Coal Company</t>
  </si>
  <si>
    <t xml:space="preserve">ACQ (Lac MT) </t>
  </si>
  <si>
    <t xml:space="preserve">Bridge Linkage </t>
  </si>
  <si>
    <t xml:space="preserve">Bridge Linkage Qty.  (Lac MT) </t>
  </si>
  <si>
    <t>Anpara</t>
  </si>
  <si>
    <t>NCL</t>
  </si>
  <si>
    <t>Harduaganj</t>
  </si>
  <si>
    <t>BCCL</t>
  </si>
  <si>
    <t>CCL</t>
  </si>
  <si>
    <t>Harduaganj Total</t>
  </si>
  <si>
    <t xml:space="preserve">Obra </t>
  </si>
  <si>
    <t>Obra Total</t>
  </si>
  <si>
    <t>Parichha</t>
  </si>
  <si>
    <t>Parichha Total</t>
  </si>
  <si>
    <t>Anpara Total</t>
  </si>
  <si>
    <t>Total</t>
  </si>
  <si>
    <t>Harduaganj Extn-II</t>
  </si>
  <si>
    <t>SECL</t>
  </si>
  <si>
    <t>Harduaganj Extn-II Total</t>
  </si>
  <si>
    <t>Jawaharpur</t>
  </si>
  <si>
    <t>ECL</t>
  </si>
  <si>
    <t>Jawaharpur Total</t>
  </si>
  <si>
    <t>Obra C</t>
  </si>
  <si>
    <t>Obra C Total</t>
  </si>
  <si>
    <t xml:space="preserve">Panki Extn </t>
  </si>
  <si>
    <t>Panki Extn Total</t>
  </si>
  <si>
    <t>Remarks</t>
  </si>
  <si>
    <t>Bridge Linkage Valid till 12.08.2026</t>
  </si>
  <si>
    <t>Flexi Coal Supply Matrix for FY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</si>
</sst>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9" xfId="0" applyBorder="1"/>
    <xf numFmtId="0" fontId="1" fillId="2" borderId="9" xfId="0" applyFont="1" applyFill="1" applyBorder="1"/>
    <xf numFmtId="0" fontId="0" fillId="2" borderId="9" xfId="0" applyFill="1" applyBorder="1"/>
    <xf numFmtId="0" fontId="1" fillId="0" borderId="10" xfId="0" applyFont="1" applyBorder="1"/>
    <xf numFmtId="0" fontId="0" fillId="0" borderId="11" xfId="0" applyBorder="1"/>
    <xf numFmtId="2" fontId="1" fillId="0" borderId="11" xfId="0" applyNumberFormat="1" applyFont="1" applyBorder="1"/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FB6-BB8F-4325-B0F5-C04C5F2B612B}">
  <dimension ref="A1:G18"/>
  <sheetViews>
    <sheetView tabSelected="1" topLeftCell="A4" workbookViewId="0">
      <selection activeCell="P9" sqref="P9"/>
    </sheetView>
  </sheetViews>
  <sheetFormatPr defaultRowHeight="15" x14ac:dyDescent="0.25"/>
  <cols>
    <col min="1" max="1" width="17.5703125" customWidth="1"/>
    <col min="2" max="2" width="14.85546875" customWidth="1"/>
    <col min="3" max="3" width="15.85546875" customWidth="1"/>
    <col min="4" max="4" width="22.140625" customWidth="1"/>
    <col min="5" max="5" width="15.85546875" customWidth="1"/>
    <col min="6" max="6" width="11.140625" customWidth="1"/>
    <col min="7" max="7" width="34" customWidth="1"/>
  </cols>
  <sheetData>
    <row r="1" spans="1:7" ht="18.75" thickBot="1" x14ac:dyDescent="0.3">
      <c r="A1" s="24" t="s">
        <v>30</v>
      </c>
      <c r="B1" s="25"/>
      <c r="C1" s="25"/>
      <c r="D1" s="25"/>
      <c r="E1" s="25"/>
      <c r="F1" s="25"/>
      <c r="G1" s="25"/>
    </row>
    <row r="2" spans="1:7" x14ac:dyDescent="0.25">
      <c r="A2" s="8"/>
      <c r="B2" s="9"/>
      <c r="C2" s="9"/>
      <c r="D2" s="9"/>
      <c r="E2" s="9"/>
      <c r="F2" s="9"/>
      <c r="G2" s="10"/>
    </row>
    <row r="3" spans="1:7" x14ac:dyDescent="0.25">
      <c r="A3" s="22" t="s">
        <v>0</v>
      </c>
      <c r="B3" s="23"/>
      <c r="C3" s="23"/>
      <c r="D3" s="23" t="s">
        <v>4</v>
      </c>
      <c r="E3" s="23"/>
      <c r="F3" s="23"/>
      <c r="G3" s="11"/>
    </row>
    <row r="4" spans="1:7" ht="60" x14ac:dyDescent="0.25">
      <c r="A4" s="12" t="s">
        <v>1</v>
      </c>
      <c r="B4" s="4" t="s">
        <v>2</v>
      </c>
      <c r="C4" s="5" t="s">
        <v>3</v>
      </c>
      <c r="D4" s="4" t="s">
        <v>1</v>
      </c>
      <c r="E4" s="4" t="s">
        <v>2</v>
      </c>
      <c r="F4" s="5" t="s">
        <v>5</v>
      </c>
      <c r="G4" s="13" t="s">
        <v>28</v>
      </c>
    </row>
    <row r="5" spans="1:7" x14ac:dyDescent="0.25">
      <c r="A5" s="14" t="s">
        <v>6</v>
      </c>
      <c r="B5" s="1" t="s">
        <v>7</v>
      </c>
      <c r="C5" s="1">
        <v>118.64</v>
      </c>
      <c r="D5" s="1" t="s">
        <v>18</v>
      </c>
      <c r="E5" s="7" t="s">
        <v>10</v>
      </c>
      <c r="F5" s="7">
        <v>12.33</v>
      </c>
      <c r="G5" s="11" t="s">
        <v>29</v>
      </c>
    </row>
    <row r="6" spans="1:7" x14ac:dyDescent="0.25">
      <c r="A6" s="15" t="s">
        <v>16</v>
      </c>
      <c r="B6" s="1"/>
      <c r="C6" s="1">
        <v>118.64</v>
      </c>
      <c r="D6" s="1"/>
      <c r="E6" s="7" t="s">
        <v>19</v>
      </c>
      <c r="F6" s="7">
        <v>13.59</v>
      </c>
      <c r="G6" s="11" t="s">
        <v>29</v>
      </c>
    </row>
    <row r="7" spans="1:7" x14ac:dyDescent="0.25">
      <c r="A7" s="14" t="s">
        <v>8</v>
      </c>
      <c r="B7" s="1" t="s">
        <v>9</v>
      </c>
      <c r="C7" s="3">
        <v>2.82</v>
      </c>
      <c r="D7" s="1" t="s">
        <v>20</v>
      </c>
      <c r="E7" s="7"/>
      <c r="F7" s="7">
        <f>SUM(F5:F6)</f>
        <v>25.92</v>
      </c>
      <c r="G7" s="11"/>
    </row>
    <row r="8" spans="1:7" x14ac:dyDescent="0.25">
      <c r="A8" s="14"/>
      <c r="B8" s="1" t="s">
        <v>10</v>
      </c>
      <c r="C8" s="3">
        <v>21.69</v>
      </c>
      <c r="D8" s="1" t="s">
        <v>21</v>
      </c>
      <c r="E8" s="7" t="s">
        <v>9</v>
      </c>
      <c r="F8" s="7">
        <v>10.029999999999999</v>
      </c>
      <c r="G8" s="11" t="s">
        <v>29</v>
      </c>
    </row>
    <row r="9" spans="1:7" x14ac:dyDescent="0.25">
      <c r="A9" s="15" t="s">
        <v>11</v>
      </c>
      <c r="B9" s="1"/>
      <c r="C9" s="3">
        <f>SUM(C7:C8)</f>
        <v>24.51</v>
      </c>
      <c r="D9" s="1"/>
      <c r="E9" s="7" t="s">
        <v>22</v>
      </c>
      <c r="F9" s="7">
        <v>11.05</v>
      </c>
      <c r="G9" s="11" t="s">
        <v>29</v>
      </c>
    </row>
    <row r="10" spans="1:7" x14ac:dyDescent="0.25">
      <c r="A10" s="14" t="s">
        <v>12</v>
      </c>
      <c r="B10" s="1" t="s">
        <v>9</v>
      </c>
      <c r="C10" s="3">
        <v>0</v>
      </c>
      <c r="D10" s="1"/>
      <c r="E10" s="7" t="s">
        <v>19</v>
      </c>
      <c r="F10" s="7">
        <v>27.17</v>
      </c>
      <c r="G10" s="11" t="s">
        <v>29</v>
      </c>
    </row>
    <row r="11" spans="1:7" x14ac:dyDescent="0.25">
      <c r="A11" s="14"/>
      <c r="B11" s="1" t="s">
        <v>7</v>
      </c>
      <c r="C11" s="3">
        <v>36.18</v>
      </c>
      <c r="D11" s="6" t="s">
        <v>23</v>
      </c>
      <c r="E11" s="7"/>
      <c r="F11" s="7">
        <f>SUM(F8:F10)</f>
        <v>48.25</v>
      </c>
      <c r="G11" s="11"/>
    </row>
    <row r="12" spans="1:7" x14ac:dyDescent="0.25">
      <c r="A12" s="15" t="s">
        <v>13</v>
      </c>
      <c r="B12" s="1"/>
      <c r="C12" s="3">
        <v>36.18</v>
      </c>
      <c r="D12" s="1" t="s">
        <v>24</v>
      </c>
      <c r="E12" s="7" t="s">
        <v>9</v>
      </c>
      <c r="F12" s="7">
        <v>20.05</v>
      </c>
      <c r="G12" s="11" t="s">
        <v>29</v>
      </c>
    </row>
    <row r="13" spans="1:7" x14ac:dyDescent="0.25">
      <c r="A13" s="14" t="s">
        <v>14</v>
      </c>
      <c r="B13" s="1" t="s">
        <v>10</v>
      </c>
      <c r="C13" s="3">
        <v>8.08</v>
      </c>
      <c r="D13" s="1"/>
      <c r="E13" s="7" t="s">
        <v>7</v>
      </c>
      <c r="F13" s="7">
        <v>22.69</v>
      </c>
      <c r="G13" s="11" t="s">
        <v>29</v>
      </c>
    </row>
    <row r="14" spans="1:7" x14ac:dyDescent="0.25">
      <c r="A14" s="14"/>
      <c r="B14" s="1" t="s">
        <v>7</v>
      </c>
      <c r="C14" s="3">
        <v>32.47</v>
      </c>
      <c r="D14" s="6" t="s">
        <v>25</v>
      </c>
      <c r="E14" s="7"/>
      <c r="F14" s="7">
        <f>SUM(F12:F13)</f>
        <v>42.74</v>
      </c>
      <c r="G14" s="11"/>
    </row>
    <row r="15" spans="1:7" x14ac:dyDescent="0.25">
      <c r="A15" s="15" t="s">
        <v>15</v>
      </c>
      <c r="B15" s="1"/>
      <c r="C15" s="3">
        <f>SUM(C13:C14)</f>
        <v>40.549999999999997</v>
      </c>
      <c r="D15" s="1" t="s">
        <v>26</v>
      </c>
      <c r="E15" s="7" t="s">
        <v>10</v>
      </c>
      <c r="F15" s="7">
        <v>24.66</v>
      </c>
      <c r="G15" s="11" t="s">
        <v>29</v>
      </c>
    </row>
    <row r="16" spans="1:7" x14ac:dyDescent="0.25">
      <c r="A16" s="16"/>
      <c r="B16" s="1"/>
      <c r="C16" s="3"/>
      <c r="D16" s="6" t="s">
        <v>27</v>
      </c>
      <c r="E16" s="1"/>
      <c r="F16" s="7">
        <v>24.66</v>
      </c>
      <c r="G16" s="11"/>
    </row>
    <row r="17" spans="1:7" ht="15.75" thickBot="1" x14ac:dyDescent="0.3">
      <c r="A17" s="17" t="s">
        <v>17</v>
      </c>
      <c r="B17" s="18"/>
      <c r="C17" s="19">
        <v>219.88</v>
      </c>
      <c r="D17" s="18"/>
      <c r="E17" s="18"/>
      <c r="F17" s="20">
        <f>F7+F11+F14+F16</f>
        <v>141.57</v>
      </c>
      <c r="G17" s="21"/>
    </row>
    <row r="18" spans="1:7" x14ac:dyDescent="0.25">
      <c r="E18" s="2"/>
    </row>
  </sheetData>
  <mergeCells count="3">
    <mergeCell ref="A3:C3"/>
    <mergeCell ref="D3:F3"/>
    <mergeCell ref="A1:G1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UPRVUNL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Fuel LUCKNOW</dc:creator>
  <cp:lastModifiedBy>SE Fuel LUCKNOW</cp:lastModifiedBy>
  <cp:lastPrinted>2026-05-07T22:15:58Z</cp:lastPrinted>
  <dcterms:created xsi:type="dcterms:W3CDTF">2026-04-23T20:44:44Z</dcterms:created>
  <dcterms:modified xsi:type="dcterms:W3CDTF">2026-05-07T23:27:48Z</dcterms:modified>
</cp:coreProperties>
</file>