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F840C4F6-231D-4C42-86F8-DC9DFFD76F22}" xr6:coauthVersionLast="47" xr6:coauthVersionMax="47" xr10:uidLastSave="{00000000-0000-0000-0000-000000000000}"/>
  <bookViews>
    <workbookView xWindow="-120" yWindow="-120" windowWidth="29040" windowHeight="15840" activeTab="5" xr2:uid="{844B89BB-DB66-40AF-8A03-7DE2C558DE9C}"/>
  </bookViews>
  <sheets>
    <sheet name="Existing Linkage" sheetId="5" r:id="rId1"/>
    <sheet name="Proposed within current linkage" sheetId="6" r:id="rId2"/>
    <sheet name="Sheet1" sheetId="1" r:id="rId3"/>
    <sheet name="Details" sheetId="3" r:id="rId4"/>
    <sheet name="VC IPP and UNL" sheetId="4" r:id="rId5"/>
    <sheet name="Comparision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6" l="1"/>
  <c r="N11" i="6"/>
  <c r="N21" i="6"/>
  <c r="N14" i="6"/>
  <c r="N15" i="6" s="1"/>
  <c r="D35" i="6"/>
  <c r="D36" i="6"/>
  <c r="N29" i="6"/>
  <c r="N12" i="6"/>
  <c r="N31" i="6"/>
  <c r="N25" i="6"/>
  <c r="O21" i="6" s="1"/>
  <c r="N20" i="6"/>
  <c r="I20" i="6"/>
  <c r="F20" i="6"/>
  <c r="L9" i="5"/>
  <c r="I22" i="5"/>
  <c r="F22" i="5"/>
  <c r="N2" i="5"/>
  <c r="J9" i="5"/>
  <c r="D31" i="6"/>
  <c r="I31" i="6" s="1"/>
  <c r="F30" i="6"/>
  <c r="E30" i="6"/>
  <c r="J29" i="6"/>
  <c r="L29" i="6" s="1"/>
  <c r="E29" i="6"/>
  <c r="J28" i="6"/>
  <c r="L28" i="6" s="1"/>
  <c r="J27" i="6"/>
  <c r="L27" i="6" s="1"/>
  <c r="J26" i="6"/>
  <c r="L26" i="6" s="1"/>
  <c r="E26" i="6"/>
  <c r="D25" i="6"/>
  <c r="I25" i="6" s="1"/>
  <c r="J24" i="6"/>
  <c r="L24" i="6" s="1"/>
  <c r="E24" i="6"/>
  <c r="J23" i="6"/>
  <c r="L23" i="6" s="1"/>
  <c r="I22" i="6"/>
  <c r="J22" i="6" s="1"/>
  <c r="L22" i="6" s="1"/>
  <c r="J21" i="6"/>
  <c r="L21" i="6" s="1"/>
  <c r="E21" i="6"/>
  <c r="D20" i="6"/>
  <c r="F19" i="6"/>
  <c r="J19" i="6" s="1"/>
  <c r="L19" i="6" s="1"/>
  <c r="E19" i="6"/>
  <c r="J18" i="6"/>
  <c r="L18" i="6" s="1"/>
  <c r="J17" i="6"/>
  <c r="L17" i="6" s="1"/>
  <c r="J16" i="6"/>
  <c r="L16" i="6" s="1"/>
  <c r="E16" i="6"/>
  <c r="D15" i="6"/>
  <c r="F15" i="6" s="1"/>
  <c r="J14" i="6"/>
  <c r="L14" i="6" s="1"/>
  <c r="E14" i="6"/>
  <c r="J13" i="6"/>
  <c r="L13" i="6" s="1"/>
  <c r="E13" i="6"/>
  <c r="J11" i="6"/>
  <c r="L11" i="6" s="1"/>
  <c r="E11" i="6"/>
  <c r="J10" i="6"/>
  <c r="L10" i="6" s="1"/>
  <c r="J9" i="6"/>
  <c r="L9" i="6" s="1"/>
  <c r="D8" i="6"/>
  <c r="I8" i="6" s="1"/>
  <c r="J7" i="6"/>
  <c r="L7" i="6" s="1"/>
  <c r="E7" i="6"/>
  <c r="J6" i="6"/>
  <c r="L6" i="6" s="1"/>
  <c r="E6" i="6"/>
  <c r="I5" i="6"/>
  <c r="J5" i="6" s="1"/>
  <c r="L5" i="6" s="1"/>
  <c r="E5" i="6"/>
  <c r="J4" i="6"/>
  <c r="L4" i="6" s="1"/>
  <c r="E4" i="6"/>
  <c r="D22" i="5"/>
  <c r="F21" i="5"/>
  <c r="E21" i="5"/>
  <c r="J20" i="5"/>
  <c r="L20" i="5" s="1"/>
  <c r="E20" i="5"/>
  <c r="J19" i="5"/>
  <c r="L19" i="5" s="1"/>
  <c r="E19" i="5"/>
  <c r="D18" i="5"/>
  <c r="E18" i="5" s="1"/>
  <c r="J17" i="5"/>
  <c r="L17" i="5" s="1"/>
  <c r="E17" i="5"/>
  <c r="J16" i="5"/>
  <c r="L16" i="5" s="1"/>
  <c r="E16" i="5"/>
  <c r="D15" i="5"/>
  <c r="I15" i="5" s="1"/>
  <c r="F14" i="5"/>
  <c r="J14" i="5" s="1"/>
  <c r="L14" i="5" s="1"/>
  <c r="E14" i="5"/>
  <c r="J13" i="5"/>
  <c r="L13" i="5" s="1"/>
  <c r="E13" i="5"/>
  <c r="D12" i="5"/>
  <c r="E12" i="5" s="1"/>
  <c r="J11" i="5"/>
  <c r="L11" i="5" s="1"/>
  <c r="E11" i="5"/>
  <c r="J10" i="5"/>
  <c r="L10" i="5" s="1"/>
  <c r="E10" i="5"/>
  <c r="E9" i="5"/>
  <c r="D8" i="5"/>
  <c r="I8" i="5" s="1"/>
  <c r="J7" i="5"/>
  <c r="L7" i="5" s="1"/>
  <c r="E7" i="5"/>
  <c r="J6" i="5"/>
  <c r="L6" i="5" s="1"/>
  <c r="E6" i="5"/>
  <c r="I5" i="5"/>
  <c r="J5" i="5" s="1"/>
  <c r="L5" i="5" s="1"/>
  <c r="E5" i="5"/>
  <c r="J4" i="5"/>
  <c r="L4" i="5" s="1"/>
  <c r="E4" i="5"/>
  <c r="T10" i="1"/>
  <c r="T11" i="1"/>
  <c r="T12" i="1"/>
  <c r="T13" i="1"/>
  <c r="T14" i="1"/>
  <c r="T9" i="1"/>
  <c r="S14" i="1"/>
  <c r="S13" i="1"/>
  <c r="S12" i="1"/>
  <c r="S11" i="1"/>
  <c r="S10" i="1"/>
  <c r="S9" i="1"/>
  <c r="N34" i="6" l="1"/>
  <c r="O16" i="6"/>
  <c r="O9" i="6"/>
  <c r="F31" i="6"/>
  <c r="J31" i="6" s="1"/>
  <c r="L31" i="6" s="1"/>
  <c r="I15" i="6"/>
  <c r="J15" i="6" s="1"/>
  <c r="L15" i="6" s="1"/>
  <c r="F12" i="5"/>
  <c r="I12" i="5"/>
  <c r="J12" i="5" s="1"/>
  <c r="F15" i="5"/>
  <c r="J15" i="5" s="1"/>
  <c r="L15" i="5" s="1"/>
  <c r="F18" i="5"/>
  <c r="J22" i="5"/>
  <c r="L22" i="5" s="1"/>
  <c r="I18" i="5"/>
  <c r="E20" i="6"/>
  <c r="J20" i="6"/>
  <c r="L20" i="6" s="1"/>
  <c r="E25" i="6"/>
  <c r="F25" i="6"/>
  <c r="J25" i="6" s="1"/>
  <c r="L25" i="6" s="1"/>
  <c r="J30" i="6"/>
  <c r="L30" i="6" s="1"/>
  <c r="O26" i="6" s="1"/>
  <c r="E31" i="6"/>
  <c r="E15" i="6"/>
  <c r="E8" i="6"/>
  <c r="F8" i="6"/>
  <c r="J8" i="6" s="1"/>
  <c r="L8" i="6" s="1"/>
  <c r="E15" i="5"/>
  <c r="E8" i="5"/>
  <c r="J21" i="5"/>
  <c r="L21" i="5" s="1"/>
  <c r="F8" i="5"/>
  <c r="J8" i="5" s="1"/>
  <c r="L8" i="5" s="1"/>
  <c r="E22" i="5"/>
  <c r="N18" i="1"/>
  <c r="J13" i="3"/>
  <c r="L21" i="3"/>
  <c r="J21" i="3"/>
  <c r="I21" i="3"/>
  <c r="F14" i="3"/>
  <c r="J27" i="3"/>
  <c r="L27" i="3" s="1"/>
  <c r="J26" i="3"/>
  <c r="L26" i="3" s="1"/>
  <c r="J22" i="3"/>
  <c r="L22" i="3" s="1"/>
  <c r="J17" i="3"/>
  <c r="L17" i="3" s="1"/>
  <c r="J16" i="3"/>
  <c r="L16" i="3" s="1"/>
  <c r="J10" i="3"/>
  <c r="L10" i="3" s="1"/>
  <c r="J9" i="3"/>
  <c r="L9" i="3" s="1"/>
  <c r="D30" i="3"/>
  <c r="I30" i="3" s="1"/>
  <c r="F29" i="3"/>
  <c r="J29" i="3" s="1"/>
  <c r="L29" i="3" s="1"/>
  <c r="E29" i="3"/>
  <c r="J28" i="3"/>
  <c r="L28" i="3" s="1"/>
  <c r="E28" i="3"/>
  <c r="J25" i="3"/>
  <c r="L25" i="3" s="1"/>
  <c r="E25" i="3"/>
  <c r="D24" i="3"/>
  <c r="I24" i="3" s="1"/>
  <c r="J23" i="3"/>
  <c r="L23" i="3" s="1"/>
  <c r="E23" i="3"/>
  <c r="J20" i="3"/>
  <c r="L20" i="3" s="1"/>
  <c r="E20" i="3"/>
  <c r="D19" i="3"/>
  <c r="E19" i="3" s="1"/>
  <c r="F18" i="3"/>
  <c r="F19" i="3" s="1"/>
  <c r="E18" i="3"/>
  <c r="J15" i="3"/>
  <c r="L15" i="3" s="1"/>
  <c r="E15" i="3"/>
  <c r="D14" i="3"/>
  <c r="L13" i="3"/>
  <c r="E13" i="3"/>
  <c r="J12" i="3"/>
  <c r="L12" i="3" s="1"/>
  <c r="E12" i="3"/>
  <c r="J11" i="3"/>
  <c r="L11" i="3" s="1"/>
  <c r="E11" i="3"/>
  <c r="D8" i="3"/>
  <c r="I8" i="3" s="1"/>
  <c r="J7" i="3"/>
  <c r="L7" i="3" s="1"/>
  <c r="E7" i="3"/>
  <c r="J6" i="3"/>
  <c r="L6" i="3" s="1"/>
  <c r="E6" i="3"/>
  <c r="I5" i="3"/>
  <c r="E5" i="3"/>
  <c r="J4" i="3"/>
  <c r="L4" i="3" s="1"/>
  <c r="E4" i="3"/>
  <c r="K15" i="1"/>
  <c r="K23" i="1" s="1"/>
  <c r="K14" i="1"/>
  <c r="K13" i="1"/>
  <c r="E23" i="1"/>
  <c r="K16" i="1"/>
  <c r="F14" i="1"/>
  <c r="F21" i="1"/>
  <c r="P8" i="1"/>
  <c r="E21" i="1"/>
  <c r="K21" i="1" s="1"/>
  <c r="J18" i="5" l="1"/>
  <c r="L18" i="5" s="1"/>
  <c r="L12" i="5"/>
  <c r="E14" i="3"/>
  <c r="I19" i="3"/>
  <c r="E30" i="3"/>
  <c r="J5" i="3"/>
  <c r="L5" i="3" s="1"/>
  <c r="I14" i="3"/>
  <c r="J14" i="3" s="1"/>
  <c r="F30" i="3"/>
  <c r="J30" i="3" s="1"/>
  <c r="L30" i="3" s="1"/>
  <c r="J18" i="3"/>
  <c r="L18" i="3" s="1"/>
  <c r="E8" i="3"/>
  <c r="E24" i="3"/>
  <c r="F8" i="3"/>
  <c r="J8" i="3" s="1"/>
  <c r="F24" i="3"/>
  <c r="J24" i="3" s="1"/>
  <c r="L24" i="3" s="1"/>
  <c r="E5" i="1"/>
  <c r="K5" i="1" s="1"/>
  <c r="E6" i="1"/>
  <c r="K6" i="1" s="1"/>
  <c r="E7" i="1"/>
  <c r="K7" i="1" s="1"/>
  <c r="E9" i="1"/>
  <c r="K9" i="1" s="1"/>
  <c r="E10" i="1"/>
  <c r="K10" i="1" s="1"/>
  <c r="E11" i="1"/>
  <c r="K11" i="1" s="1"/>
  <c r="E16" i="1"/>
  <c r="E17" i="1"/>
  <c r="K17" i="1" s="1"/>
  <c r="E19" i="1"/>
  <c r="K19" i="1" s="1"/>
  <c r="E20" i="1"/>
  <c r="K20" i="1" s="1"/>
  <c r="E13" i="1"/>
  <c r="E14" i="1"/>
  <c r="E4" i="1"/>
  <c r="K4" i="1" s="1"/>
  <c r="D15" i="1"/>
  <c r="G15" i="1" s="1"/>
  <c r="M15" i="1" s="1"/>
  <c r="M14" i="1"/>
  <c r="N14" i="1"/>
  <c r="O14" i="1" s="1"/>
  <c r="H14" i="1"/>
  <c r="I14" i="1" s="1"/>
  <c r="M13" i="1"/>
  <c r="N13" i="1" s="1"/>
  <c r="O13" i="1" s="1"/>
  <c r="H13" i="1"/>
  <c r="I13" i="1" s="1"/>
  <c r="D22" i="1"/>
  <c r="G22" i="1" s="1"/>
  <c r="M22" i="1" s="1"/>
  <c r="M21" i="1"/>
  <c r="N21" i="1"/>
  <c r="O21" i="1" s="1"/>
  <c r="H21" i="1"/>
  <c r="I21" i="1" s="1"/>
  <c r="M20" i="1"/>
  <c r="H20" i="1"/>
  <c r="I20" i="1" s="1"/>
  <c r="M19" i="1"/>
  <c r="N19" i="1"/>
  <c r="O19" i="1" s="1"/>
  <c r="H19" i="1"/>
  <c r="I19" i="1" s="1"/>
  <c r="D18" i="1"/>
  <c r="G18" i="1" s="1"/>
  <c r="M18" i="1" s="1"/>
  <c r="M17" i="1"/>
  <c r="N17" i="1" s="1"/>
  <c r="O17" i="1" s="1"/>
  <c r="H17" i="1"/>
  <c r="I17" i="1" s="1"/>
  <c r="M16" i="1"/>
  <c r="N16" i="1" s="1"/>
  <c r="O16" i="1" s="1"/>
  <c r="H16" i="1"/>
  <c r="I16" i="1" s="1"/>
  <c r="D12" i="1"/>
  <c r="E12" i="1" s="1"/>
  <c r="M11" i="1"/>
  <c r="N11" i="1" s="1"/>
  <c r="O11" i="1" s="1"/>
  <c r="H11" i="1"/>
  <c r="I11" i="1" s="1"/>
  <c r="M10" i="1"/>
  <c r="H10" i="1"/>
  <c r="I10" i="1" s="1"/>
  <c r="M9" i="1"/>
  <c r="N9" i="1"/>
  <c r="O9" i="1" s="1"/>
  <c r="H9" i="1"/>
  <c r="I9" i="1" s="1"/>
  <c r="D8" i="1"/>
  <c r="M7" i="1"/>
  <c r="N7" i="1" s="1"/>
  <c r="O7" i="1" s="1"/>
  <c r="H7" i="1"/>
  <c r="I7" i="1" s="1"/>
  <c r="M6" i="1"/>
  <c r="H6" i="1"/>
  <c r="I6" i="1" s="1"/>
  <c r="G5" i="1"/>
  <c r="M5" i="1" s="1"/>
  <c r="M4" i="1"/>
  <c r="J19" i="3" l="1"/>
  <c r="L19" i="3" s="1"/>
  <c r="L8" i="3"/>
  <c r="L14" i="3"/>
  <c r="E18" i="1"/>
  <c r="F8" i="1"/>
  <c r="G8" i="1"/>
  <c r="K18" i="1"/>
  <c r="L18" i="1" s="1"/>
  <c r="K12" i="1"/>
  <c r="L12" i="1" s="1"/>
  <c r="E8" i="1"/>
  <c r="E15" i="1"/>
  <c r="K8" i="1"/>
  <c r="L8" i="1" s="1"/>
  <c r="E22" i="1"/>
  <c r="K22" i="1"/>
  <c r="L22" i="1" s="1"/>
  <c r="N22" i="1" s="1"/>
  <c r="O22" i="1" s="1"/>
  <c r="M12" i="1"/>
  <c r="F22" i="1"/>
  <c r="H22" i="1" s="1"/>
  <c r="I22" i="1" s="1"/>
  <c r="F12" i="1"/>
  <c r="N6" i="1"/>
  <c r="O6" i="1" s="1"/>
  <c r="G12" i="1"/>
  <c r="N5" i="1"/>
  <c r="O5" i="1" s="1"/>
  <c r="N20" i="1"/>
  <c r="O20" i="1" s="1"/>
  <c r="N10" i="1"/>
  <c r="O10" i="1" s="1"/>
  <c r="H5" i="1"/>
  <c r="I5" i="1" s="1"/>
  <c r="F18" i="1"/>
  <c r="H18" i="1" s="1"/>
  <c r="I18" i="1" s="1"/>
  <c r="F15" i="1"/>
  <c r="O18" i="1" l="1"/>
  <c r="P18" i="1"/>
  <c r="P23" i="1" s="1"/>
  <c r="H8" i="1"/>
  <c r="M8" i="1"/>
  <c r="N8" i="1" s="1"/>
  <c r="O8" i="1"/>
  <c r="H15" i="1"/>
  <c r="I15" i="1" s="1"/>
  <c r="L15" i="1"/>
  <c r="N15" i="1" s="1"/>
  <c r="O15" i="1" s="1"/>
  <c r="N12" i="1"/>
  <c r="O12" i="1" s="1"/>
  <c r="I8" i="1"/>
  <c r="H12" i="1"/>
  <c r="H4" i="1"/>
  <c r="I4" i="1" s="1"/>
  <c r="I12" i="1" l="1"/>
  <c r="N4" i="1"/>
  <c r="O4" i="1" l="1"/>
</calcChain>
</file>

<file path=xl/sharedStrings.xml><?xml version="1.0" encoding="utf-8"?>
<sst xmlns="http://schemas.openxmlformats.org/spreadsheetml/2006/main" count="315" uniqueCount="123">
  <si>
    <t xml:space="preserve">        </t>
  </si>
  <si>
    <t>TPS</t>
  </si>
  <si>
    <t>Linkage/Bridge Linkage</t>
  </si>
  <si>
    <t>Name Of Coal Company</t>
  </si>
  <si>
    <t>Annual Coal Linkage (in Lac MT)</t>
  </si>
  <si>
    <t>Rate of Coal (Rs/MT)</t>
  </si>
  <si>
    <t>Freight Rate (Rs/MT)</t>
  </si>
  <si>
    <t>Landed Cost of Coal (Rs/MT)</t>
  </si>
  <si>
    <t xml:space="preserve"> Approx. Variable Cost (Rs/kwh) </t>
  </si>
  <si>
    <t>Anpara</t>
  </si>
  <si>
    <t>Linkage</t>
  </si>
  <si>
    <t>NCL</t>
  </si>
  <si>
    <t>Obra B</t>
  </si>
  <si>
    <t>Obra C *</t>
  </si>
  <si>
    <t>Bridge Linkage</t>
  </si>
  <si>
    <t>BCCL</t>
  </si>
  <si>
    <t>Panki *</t>
  </si>
  <si>
    <t>CCL</t>
  </si>
  <si>
    <t>Harduaganj</t>
  </si>
  <si>
    <t>Parichha</t>
  </si>
  <si>
    <t>Jawaharpur*</t>
  </si>
  <si>
    <t xml:space="preserve">Bridge Linkage </t>
  </si>
  <si>
    <t>ECL</t>
  </si>
  <si>
    <t>SECL</t>
  </si>
  <si>
    <t>As per Existing FSA/Bridge Linkage</t>
  </si>
  <si>
    <t>As per Allocation in Flexi Matrix and diversion</t>
  </si>
  <si>
    <t>Quantity in Q1 of 2026-2027</t>
  </si>
  <si>
    <t>Allocation/ planned diversion in Q1 of 2026-2027</t>
  </si>
  <si>
    <t>Remark</t>
  </si>
  <si>
    <t>Landed cost of coal is calculated at Obra TPS level which causes decrease in coal cost of Obra C and increase in coal cost of Obra B.</t>
  </si>
  <si>
    <t>Increase in allocation will increase coal availibilty and avoid Performance Incentive (40% of base price) Payment to NCL</t>
  </si>
  <si>
    <t>Allocation from CCL will decrease coal cost</t>
  </si>
  <si>
    <t>Quality of ECL coal is highly poor so avoid loading from ECL and diversion of CCL/NCL rakes to JTPS to optimize coal cost.</t>
  </si>
  <si>
    <t>Some NCL rakes of Parichha diverted to increase quality of coal.</t>
  </si>
  <si>
    <t>Coal linkage for Obra B has been reduced from 42.26 LMT to 36.18 LMT and for Parichha from 42.19 LMT to 32.47 LMT by NCL, citing deletion of units as the reason.</t>
  </si>
  <si>
    <r>
      <t xml:space="preserve"> Variation in Variable cost                                                                               </t>
    </r>
    <r>
      <rPr>
        <b/>
        <sz val="10"/>
        <color theme="1"/>
        <rFont val="Aptos Narrow"/>
        <family val="2"/>
        <scheme val="minor"/>
      </rPr>
      <t>( tentative Variable cost due to coal)</t>
    </r>
  </si>
  <si>
    <t>Harduaganj has been directed to internally use coal in such a way that generation cost of  660 MW should be more than 250 MW</t>
  </si>
  <si>
    <t>Tentative Saving (in Crore)</t>
  </si>
  <si>
    <t>Harduaganj E               ( 1X660 MW)</t>
  </si>
  <si>
    <t>UPRVUNL TPS</t>
  </si>
  <si>
    <t>Variable Charges of Comparable Plants ( situated at similer distance from Coal Company/Mine)</t>
  </si>
  <si>
    <t>Remarks</t>
  </si>
  <si>
    <t>Harduaganj (2X250 MW)</t>
  </si>
  <si>
    <t>Harduaganj (1X660 MW)</t>
  </si>
  <si>
    <t>Panki (1X660 MW)</t>
  </si>
  <si>
    <t>Parichha (2x210MW &amp; 2X250 MW)</t>
  </si>
  <si>
    <t>Lalitpur (3X660 MW)</t>
  </si>
  <si>
    <t>Dadri Thermal I (3X210 MW)</t>
  </si>
  <si>
    <t>Dadri Thermal II (2X490 MW)</t>
  </si>
  <si>
    <t>Jawaharpur (2X660 MW)</t>
  </si>
  <si>
    <t>Coal Source</t>
  </si>
  <si>
    <t>CCL-53 Lac MT
BCCL-4.03 Lac MT</t>
  </si>
  <si>
    <t>CCL - 24.66 Lac MT</t>
  </si>
  <si>
    <t>NCL , CCL, ECL (till 31.03.2026)</t>
  </si>
  <si>
    <t>NCL-36.18 Lac MT
CCL- 8.08 Lac MT</t>
  </si>
  <si>
    <t>CCL-41 Lac MT
ECL=.13 Lac MT
NCL-30 Lac MT</t>
  </si>
  <si>
    <t>CCL -21.69 Lac MT</t>
  </si>
  <si>
    <t>CCL-12.33 lac MT
SECL- 13.59 Lac MT</t>
  </si>
  <si>
    <t>SECL- 27.17 Lac MT
ECL- 11.05 Lac MT
BCCL- 10.03 Lac MT</t>
  </si>
  <si>
    <t>VC of Panki is expected to come at Rs 3.15/Unit after revision of premium</t>
  </si>
  <si>
    <t xml:space="preserve">VC of Jawaharpur is revised to Rs 4.38/Unit and will be effective since 16.04.2026 and it is expected to come down to Rs 4.15/Unit after running of units in April 26. </t>
  </si>
  <si>
    <t>Dadri Thermal II (2X490 MW)/ KSK Mahanadi</t>
  </si>
  <si>
    <t>3.81/4.19</t>
  </si>
  <si>
    <t>Variable Charge (Rs/Unit) (01.04.2026 to 15.04.2026)</t>
  </si>
  <si>
    <t>NTPC/IPP TPS in competition</t>
  </si>
  <si>
    <t>Lalitpur Units are supercritical technology based so VC less</t>
  </si>
  <si>
    <t>Distance from Coal Company (in Kms)</t>
  </si>
  <si>
    <t>GCV  (Kcal/Kg)</t>
  </si>
  <si>
    <t>Actual Variable Charge (01.04.2026 to 15.04.2026)</t>
  </si>
  <si>
    <t xml:space="preserve">
Some NCL rakes of Parichha diverted to increase quality of coal.
</t>
  </si>
  <si>
    <t>Variable Charge (Rs/Unit)</t>
  </si>
  <si>
    <t>NUPPL Ghatampur</t>
  </si>
  <si>
    <t>IPP/NTPC/Other  Plant with similer distance with coal company</t>
  </si>
  <si>
    <t>Lalitpur
(3X660 MW)</t>
  </si>
  <si>
    <t>KSK Mahanadi</t>
  </si>
  <si>
    <t>#Actual GCV and coal cost varries sidings to sidings and accordingly VC may Change.</t>
  </si>
  <si>
    <t>##Coal linkage for Obra B has been reduced from 42.26 LMT to 36.18 LMT and for Parichha from 42.19 LMT to 32.47 LMT by NCL, citing deletion of units as the reason.</t>
  </si>
  <si>
    <t>1.Allocation from CCL will decrease coal cost
2. Lalitpur is super technology based so more efficient plant.</t>
  </si>
  <si>
    <t xml:space="preserve">1.Harduaganj has been directed to internally use coal in such a way that generation cost of  660 MW should be more than 250 MW.
</t>
  </si>
  <si>
    <t>As per Existing FSA/Bridge Linkage        ( approx.)</t>
  </si>
  <si>
    <t>Premium Rate (% of Basic Rate)</t>
  </si>
  <si>
    <t xml:space="preserve">Name of the IPP TPS </t>
  </si>
  <si>
    <t>Bara ( Prayagraj Power)</t>
  </si>
  <si>
    <t>BEPL, Utraula</t>
  </si>
  <si>
    <t>BEPL, Khambharkhera</t>
  </si>
  <si>
    <t>ROSA-I</t>
  </si>
  <si>
    <t>MB Power</t>
  </si>
  <si>
    <t>Ways to minimise VC to keep UNL TPS in MoD above tied/ comparable IPP</t>
  </si>
  <si>
    <t>UNL TPS</t>
  </si>
  <si>
    <t xml:space="preserve">Parichha </t>
  </si>
  <si>
    <t>Panki</t>
  </si>
  <si>
    <t>Jawaharpur</t>
  </si>
  <si>
    <t>KSK Mahanadi, Chhattisgarh</t>
  </si>
  <si>
    <t>Tied IPP for VC reduction and Location</t>
  </si>
  <si>
    <t xml:space="preserve">Rationale for Tie up :- Similer distance  from coal  mine and  avoids demand-based RSD of UPRVUNL TPSs in the first instance. </t>
  </si>
  <si>
    <t>Action Plan to Minimize Variable Cost (VC) of UPRVUNL TPSs</t>
  </si>
  <si>
    <r>
      <t xml:space="preserve">Variable Charges (Rs/Unit)
</t>
    </r>
    <r>
      <rPr>
        <b/>
        <sz val="12"/>
        <color theme="1"/>
        <rFont val="Aptos Narrow"/>
        <family val="2"/>
        <scheme val="minor"/>
      </rPr>
      <t xml:space="preserve"> (01.04.2026 to 15.04.2026)</t>
    </r>
  </si>
  <si>
    <t>Already CCL coal with 10 % premium. To improve coal quality, diversion of  minimum 10 rakes per month from NCL is proposed.</t>
  </si>
  <si>
    <t>VC will reduce once unit will start operating at full load.SECL rakes (10 rakes per month) will be provided to compansate NCL diversion.</t>
  </si>
  <si>
    <t>Bajaj Energy, Lalitpur TPS</t>
  </si>
  <si>
    <t>Reliance Power, ROSA-II</t>
  </si>
  <si>
    <t>Lalitpur, Lalitpur, UP</t>
  </si>
  <si>
    <t>ROSA, Shahjahanpur, UP</t>
  </si>
  <si>
    <t>BEPL, Khambhankhera, Lakhimpur Kheri, UP</t>
  </si>
  <si>
    <t>BEPL, Utraula, Balrampur, UP</t>
  </si>
  <si>
    <r>
      <rPr>
        <b/>
        <sz val="15"/>
        <color theme="1"/>
        <rFont val="Aptos Narrow"/>
        <family val="2"/>
        <scheme val="minor"/>
      </rPr>
      <t>Target VC= Rs 3.70 /unit</t>
    </r>
    <r>
      <rPr>
        <sz val="15"/>
        <color theme="1"/>
        <rFont val="Aptos Narrow"/>
        <family val="2"/>
        <scheme val="minor"/>
      </rPr>
      <t>;  after reduction in premium.</t>
    </r>
  </si>
  <si>
    <t>Target VC= Rs 3.60/unit</t>
  </si>
  <si>
    <t>Harduaganj D (2X250 MW)</t>
  </si>
  <si>
    <t>Harduaganj E (1X660 MW)</t>
  </si>
  <si>
    <t xml:space="preserve">CCL </t>
  </si>
  <si>
    <t xml:space="preserve">NCL </t>
  </si>
  <si>
    <t xml:space="preserve">                                                                                                                                                                                               </t>
  </si>
  <si>
    <r>
      <rPr>
        <b/>
        <sz val="15"/>
        <color theme="1"/>
        <rFont val="Aptos Narrow"/>
        <family val="2"/>
        <scheme val="minor"/>
      </rPr>
      <t>Target VC= Rs 4.15/Unit</t>
    </r>
    <r>
      <rPr>
        <sz val="15"/>
        <color theme="1"/>
        <rFont val="Aptos Narrow"/>
        <family val="2"/>
        <scheme val="minor"/>
      </rPr>
      <t>, diversion from CCL (15 rakes/month), NCL (5 rakes per month), loading from SECL.</t>
    </r>
  </si>
  <si>
    <t>VC of Harduaganj (2X250 MW) and 660 MW is expected to reduce to Rs 3.70/Unit due to revision of premium from 40 % to 10 %.</t>
  </si>
  <si>
    <r>
      <t xml:space="preserve">Coal Cost Dynamics                                                                                                                                                        
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 tentative Variable cost due to coal)</t>
    </r>
  </si>
  <si>
    <t>1.Avoid ECL coal loading due to poor quality.
2.Divert CCL/NCL rakes to JTPS for cost optimization.
3.VC revised to ₹4.38/unit (effective 16.04.2026).
4.Expected reduction to ~₹4.15/unit after April’26 operations.</t>
  </si>
  <si>
    <t xml:space="preserve">Partial impact of reduction of premium was observed in April 2026 and complete impact  will be observed in May/June 2026.
</t>
  </si>
  <si>
    <t xml:space="preserve">ECL coal quality is poor so avoid coal from ECL.
</t>
  </si>
  <si>
    <t>Expected Variable Charge after diversion (Rs/Unit)</t>
  </si>
  <si>
    <t>Actual Variable Charge (Rs/KWh)  (16.04.2026 to 30.04.2026)</t>
  </si>
  <si>
    <t>Planned Coal Supply (Lac MT)</t>
  </si>
  <si>
    <t>Approx VC ( as per original Linkage)</t>
  </si>
  <si>
    <t xml:space="preserve">1.Diversion of NCL coal from Parichha = 1.5 Lac MT.
2. Diversion of BCCL coal from Jwaharpur = 1.5 lac MT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</si>
</sst>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3" borderId="4" xfId="0" applyNumberFormat="1" applyFont="1" applyFill="1" applyBorder="1" applyAlignment="1">
      <alignment horizontal="center" vertical="center"/>
    </xf>
    <xf numFmtId="2" fontId="5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/>
    <xf numFmtId="0" fontId="6" fillId="5" borderId="1" xfId="0" applyFont="1" applyFill="1" applyBorder="1"/>
    <xf numFmtId="2" fontId="5" fillId="5" borderId="1" xfId="0" applyNumberFormat="1" applyFont="1" applyFill="1" applyBorder="1" applyAlignment="1">
      <alignment horizontal="center" vertical="center"/>
    </xf>
    <xf numFmtId="0" fontId="0" fillId="0" borderId="5" xfId="0" applyBorder="1"/>
    <xf numFmtId="0" fontId="1" fillId="5" borderId="11" xfId="0" applyFont="1" applyFill="1" applyBorder="1" applyAlignment="1">
      <alignment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12" xfId="0" applyFill="1" applyBorder="1"/>
    <xf numFmtId="0" fontId="5" fillId="5" borderId="12" xfId="0" applyFont="1" applyFill="1" applyBorder="1"/>
    <xf numFmtId="1" fontId="5" fillId="5" borderId="12" xfId="0" applyNumberFormat="1" applyFont="1" applyFill="1" applyBorder="1"/>
    <xf numFmtId="2" fontId="6" fillId="5" borderId="12" xfId="0" applyNumberFormat="1" applyFont="1" applyFill="1" applyBorder="1" applyAlignment="1">
      <alignment horizontal="center" vertical="center"/>
    </xf>
    <xf numFmtId="2" fontId="6" fillId="5" borderId="13" xfId="0" applyNumberFormat="1" applyFont="1" applyFill="1" applyBorder="1" applyAlignment="1">
      <alignment horizontal="center" vertical="center"/>
    </xf>
    <xf numFmtId="1" fontId="7" fillId="0" borderId="14" xfId="0" applyNumberFormat="1" applyFont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vertical="center"/>
    </xf>
    <xf numFmtId="1" fontId="5" fillId="6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vertical="center"/>
    </xf>
    <xf numFmtId="2" fontId="5" fillId="6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vertical="center"/>
    </xf>
    <xf numFmtId="1" fontId="10" fillId="3" borderId="1" xfId="0" applyNumberFormat="1" applyFont="1" applyFill="1" applyBorder="1" applyAlignment="1">
      <alignment vertical="center"/>
    </xf>
    <xf numFmtId="1" fontId="9" fillId="2" borderId="1" xfId="0" applyNumberFormat="1" applyFont="1" applyFill="1" applyBorder="1" applyAlignment="1">
      <alignment vertical="center"/>
    </xf>
    <xf numFmtId="2" fontId="5" fillId="3" borderId="24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2" borderId="22" xfId="0" applyNumberFormat="1" applyFont="1" applyFill="1" applyBorder="1" applyAlignment="1">
      <alignment horizontal="center" vertical="center"/>
    </xf>
    <xf numFmtId="2" fontId="5" fillId="3" borderId="23" xfId="0" applyNumberFormat="1" applyFont="1" applyFill="1" applyBorder="1" applyAlignment="1">
      <alignment horizontal="center" vertical="center"/>
    </xf>
    <xf numFmtId="2" fontId="5" fillId="4" borderId="24" xfId="0" applyNumberFormat="1" applyFont="1" applyFill="1" applyBorder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2" fontId="5" fillId="5" borderId="2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2" borderId="24" xfId="0" applyNumberFormat="1" applyFont="1" applyFill="1" applyBorder="1" applyAlignment="1">
      <alignment horizontal="center" vertical="center"/>
    </xf>
    <xf numFmtId="2" fontId="6" fillId="5" borderId="25" xfId="0" applyNumberFormat="1" applyFont="1" applyFill="1" applyBorder="1" applyAlignment="1">
      <alignment horizontal="center" vertical="center"/>
    </xf>
    <xf numFmtId="2" fontId="6" fillId="5" borderId="23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11" fillId="2" borderId="5" xfId="0" applyNumberFormat="1" applyFont="1" applyFill="1" applyBorder="1" applyAlignment="1">
      <alignment horizontal="center" wrapText="1"/>
    </xf>
    <xf numFmtId="2" fontId="11" fillId="3" borderId="5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7" borderId="34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30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2" fontId="13" fillId="9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7" xfId="0" applyBorder="1"/>
    <xf numFmtId="0" fontId="3" fillId="0" borderId="38" xfId="0" applyFont="1" applyBorder="1" applyAlignment="1">
      <alignment horizontal="center" vertical="center" wrapText="1"/>
    </xf>
    <xf numFmtId="2" fontId="6" fillId="5" borderId="1" xfId="0" applyNumberFormat="1" applyFont="1" applyFill="1" applyBorder="1"/>
    <xf numFmtId="2" fontId="5" fillId="3" borderId="1" xfId="0" applyNumberFormat="1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vertical="center"/>
    </xf>
    <xf numFmtId="1" fontId="15" fillId="2" borderId="1" xfId="0" applyNumberFormat="1" applyFont="1" applyFill="1" applyBorder="1" applyAlignment="1">
      <alignment vertical="center"/>
    </xf>
    <xf numFmtId="0" fontId="1" fillId="0" borderId="0" xfId="0" applyFont="1"/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6" fillId="2" borderId="27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7" borderId="27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 wrapText="1"/>
    </xf>
    <xf numFmtId="0" fontId="16" fillId="10" borderId="54" xfId="0" applyFont="1" applyFill="1" applyBorder="1" applyAlignment="1">
      <alignment horizontal="center" vertical="center" wrapText="1"/>
    </xf>
    <xf numFmtId="0" fontId="16" fillId="8" borderId="29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10" borderId="5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2" fontId="17" fillId="7" borderId="31" xfId="0" applyNumberFormat="1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10" borderId="55" xfId="0" applyFont="1" applyFill="1" applyBorder="1" applyAlignment="1">
      <alignment horizontal="center" vertical="center" wrapText="1"/>
    </xf>
    <xf numFmtId="0" fontId="16" fillId="8" borderId="30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1" fontId="18" fillId="3" borderId="1" xfId="0" applyNumberFormat="1" applyFont="1" applyFill="1" applyBorder="1" applyAlignment="1">
      <alignment vertical="center"/>
    </xf>
    <xf numFmtId="1" fontId="18" fillId="3" borderId="1" xfId="0" applyNumberFormat="1" applyFont="1" applyFill="1" applyBorder="1" applyAlignment="1">
      <alignment horizontal="right" vertical="center"/>
    </xf>
    <xf numFmtId="1" fontId="19" fillId="3" borderId="1" xfId="0" applyNumberFormat="1" applyFont="1" applyFill="1" applyBorder="1" applyAlignment="1">
      <alignment vertical="center"/>
    </xf>
    <xf numFmtId="2" fontId="18" fillId="3" borderId="1" xfId="0" applyNumberFormat="1" applyFont="1" applyFill="1" applyBorder="1" applyAlignment="1">
      <alignment horizontal="center" vertical="center"/>
    </xf>
    <xf numFmtId="1" fontId="20" fillId="3" borderId="1" xfId="0" applyNumberFormat="1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right" vertic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right" vertical="center"/>
    </xf>
    <xf numFmtId="1" fontId="20" fillId="4" borderId="1" xfId="0" applyNumberFormat="1" applyFont="1" applyFill="1" applyBorder="1" applyAlignment="1">
      <alignment vertical="center"/>
    </xf>
    <xf numFmtId="2" fontId="18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vertical="center"/>
    </xf>
    <xf numFmtId="1" fontId="18" fillId="4" borderId="1" xfId="0" applyNumberFormat="1" applyFont="1" applyFill="1" applyBorder="1" applyAlignment="1">
      <alignment vertical="center"/>
    </xf>
    <xf numFmtId="2" fontId="19" fillId="4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right" vertical="center"/>
    </xf>
    <xf numFmtId="1" fontId="19" fillId="3" borderId="1" xfId="0" applyNumberFormat="1" applyFont="1" applyFill="1" applyBorder="1" applyAlignment="1">
      <alignment horizontal="right" vertical="center"/>
    </xf>
    <xf numFmtId="2" fontId="19" fillId="3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1" fontId="19" fillId="2" borderId="1" xfId="0" applyNumberFormat="1" applyFont="1" applyFill="1" applyBorder="1" applyAlignment="1">
      <alignment vertical="center"/>
    </xf>
    <xf numFmtId="2" fontId="18" fillId="2" borderId="1" xfId="0" applyNumberFormat="1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1" fontId="18" fillId="2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vertical="center"/>
    </xf>
    <xf numFmtId="2" fontId="19" fillId="2" borderId="1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13" fillId="2" borderId="34" xfId="0" applyNumberFormat="1" applyFont="1" applyFill="1" applyBorder="1" applyAlignment="1">
      <alignment horizontal="center" wrapText="1"/>
    </xf>
    <xf numFmtId="0" fontId="0" fillId="3" borderId="8" xfId="0" applyFill="1" applyBorder="1" applyAlignment="1">
      <alignment horizontal="center" vertical="center"/>
    </xf>
    <xf numFmtId="2" fontId="18" fillId="3" borderId="8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2" fontId="18" fillId="11" borderId="1" xfId="0" applyNumberFormat="1" applyFont="1" applyFill="1" applyBorder="1" applyAlignment="1">
      <alignment horizontal="center" vertical="center"/>
    </xf>
    <xf numFmtId="2" fontId="13" fillId="3" borderId="49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2" fontId="18" fillId="6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6" fillId="3" borderId="1" xfId="0" applyNumberFormat="1" applyFont="1" applyFill="1" applyBorder="1" applyAlignment="1">
      <alignment horizontal="right" vertical="center"/>
    </xf>
    <xf numFmtId="2" fontId="19" fillId="6" borderId="1" xfId="0" applyNumberFormat="1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2" fontId="13" fillId="0" borderId="41" xfId="0" applyNumberFormat="1" applyFont="1" applyBorder="1" applyAlignment="1">
      <alignment horizontal="center" vertical="center" wrapText="1"/>
    </xf>
    <xf numFmtId="2" fontId="13" fillId="0" borderId="2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18" fillId="11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center" vertical="center"/>
    </xf>
    <xf numFmtId="2" fontId="18" fillId="3" borderId="10" xfId="0" applyNumberFormat="1" applyFont="1" applyFill="1" applyBorder="1" applyAlignment="1">
      <alignment horizontal="center" vertical="center"/>
    </xf>
    <xf numFmtId="2" fontId="18" fillId="3" borderId="8" xfId="0" applyNumberFormat="1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2" fontId="13" fillId="2" borderId="35" xfId="0" applyNumberFormat="1" applyFont="1" applyFill="1" applyBorder="1" applyAlignment="1">
      <alignment horizontal="center" vertical="center" wrapText="1"/>
    </xf>
    <xf numFmtId="2" fontId="13" fillId="2" borderId="41" xfId="0" applyNumberFormat="1" applyFont="1" applyFill="1" applyBorder="1" applyAlignment="1">
      <alignment horizontal="center" vertical="center" wrapText="1"/>
    </xf>
    <xf numFmtId="2" fontId="13" fillId="2" borderId="26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2" fontId="13" fillId="0" borderId="47" xfId="0" applyNumberFormat="1" applyFont="1" applyBorder="1" applyAlignment="1">
      <alignment horizontal="left" vertical="center" wrapText="1"/>
    </xf>
    <xf numFmtId="2" fontId="13" fillId="0" borderId="48" xfId="0" applyNumberFormat="1" applyFont="1" applyBorder="1" applyAlignment="1">
      <alignment horizontal="left" vertical="center" wrapText="1"/>
    </xf>
    <xf numFmtId="2" fontId="13" fillId="0" borderId="49" xfId="0" applyNumberFormat="1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2" fontId="18" fillId="2" borderId="2" xfId="0" applyNumberFormat="1" applyFont="1" applyFill="1" applyBorder="1" applyAlignment="1">
      <alignment horizontal="center" vertical="center" wrapText="1"/>
    </xf>
    <xf numFmtId="2" fontId="18" fillId="2" borderId="10" xfId="0" applyNumberFormat="1" applyFont="1" applyFill="1" applyBorder="1" applyAlignment="1">
      <alignment horizontal="center" vertical="center" wrapText="1"/>
    </xf>
    <xf numFmtId="2" fontId="18" fillId="2" borderId="8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2" fontId="13" fillId="3" borderId="35" xfId="0" applyNumberFormat="1" applyFont="1" applyFill="1" applyBorder="1" applyAlignment="1">
      <alignment horizontal="center" vertical="center" wrapText="1"/>
    </xf>
    <xf numFmtId="2" fontId="13" fillId="3" borderId="41" xfId="0" applyNumberFormat="1" applyFont="1" applyFill="1" applyBorder="1" applyAlignment="1">
      <alignment horizontal="center" vertical="center" wrapText="1"/>
    </xf>
    <xf numFmtId="2" fontId="13" fillId="3" borderId="26" xfId="0" applyNumberFormat="1" applyFont="1" applyFill="1" applyBorder="1" applyAlignment="1">
      <alignment horizontal="center" vertical="center" wrapText="1"/>
    </xf>
    <xf numFmtId="0" fontId="12" fillId="0" borderId="52" xfId="0" applyFont="1" applyBorder="1" applyAlignment="1">
      <alignment horizontal="left" wrapText="1"/>
    </xf>
    <xf numFmtId="2" fontId="18" fillId="4" borderId="2" xfId="0" applyNumberFormat="1" applyFont="1" applyFill="1" applyBorder="1" applyAlignment="1">
      <alignment horizontal="center" vertical="center"/>
    </xf>
    <xf numFmtId="2" fontId="18" fillId="4" borderId="10" xfId="0" applyNumberFormat="1" applyFont="1" applyFill="1" applyBorder="1" applyAlignment="1">
      <alignment horizontal="center" vertical="center"/>
    </xf>
    <xf numFmtId="2" fontId="18" fillId="4" borderId="8" xfId="0" applyNumberFormat="1" applyFont="1" applyFill="1" applyBorder="1" applyAlignment="1">
      <alignment horizontal="center" vertical="center"/>
    </xf>
    <xf numFmtId="2" fontId="18" fillId="3" borderId="2" xfId="0" applyNumberFormat="1" applyFont="1" applyFill="1" applyBorder="1" applyAlignment="1">
      <alignment horizontal="center" vertical="center" wrapText="1"/>
    </xf>
    <xf numFmtId="2" fontId="18" fillId="3" borderId="10" xfId="0" applyNumberFormat="1" applyFont="1" applyFill="1" applyBorder="1" applyAlignment="1">
      <alignment horizontal="center" vertical="center" wrapText="1"/>
    </xf>
    <xf numFmtId="2" fontId="18" fillId="3" borderId="8" xfId="0" applyNumberFormat="1" applyFont="1" applyFill="1" applyBorder="1" applyAlignment="1">
      <alignment horizontal="center" vertical="center" wrapText="1"/>
    </xf>
    <xf numFmtId="2" fontId="18" fillId="3" borderId="56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 vertical="center" wrapText="1"/>
    </xf>
    <xf numFmtId="2" fontId="11" fillId="0" borderId="16" xfId="0" applyNumberFormat="1" applyFont="1" applyBorder="1" applyAlignment="1">
      <alignment horizontal="center" vertical="center" wrapText="1"/>
    </xf>
    <xf numFmtId="2" fontId="11" fillId="0" borderId="26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2" fontId="11" fillId="0" borderId="17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13" fillId="3" borderId="35" xfId="0" applyNumberFormat="1" applyFont="1" applyFill="1" applyBorder="1" applyAlignment="1">
      <alignment horizontal="center" wrapText="1"/>
    </xf>
    <xf numFmtId="2" fontId="13" fillId="3" borderId="41" xfId="0" applyNumberFormat="1" applyFont="1" applyFill="1" applyBorder="1" applyAlignment="1">
      <alignment horizontal="center" wrapText="1"/>
    </xf>
    <xf numFmtId="2" fontId="13" fillId="3" borderId="26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5" fillId="4" borderId="10" xfId="0" applyNumberFormat="1" applyFont="1" applyFill="1" applyBorder="1" applyAlignment="1">
      <alignment horizontal="center" vertical="center" wrapText="1"/>
    </xf>
    <xf numFmtId="2" fontId="5" fillId="4" borderId="8" xfId="0" applyNumberFormat="1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2" fontId="5" fillId="3" borderId="10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2" fontId="18" fillId="2" borderId="2" xfId="0" applyNumberFormat="1" applyFont="1" applyFill="1" applyBorder="1" applyAlignment="1">
      <alignment horizontal="center" vertical="center"/>
    </xf>
    <xf numFmtId="2" fontId="18" fillId="2" borderId="10" xfId="0" applyNumberFormat="1" applyFont="1" applyFill="1" applyBorder="1" applyAlignment="1">
      <alignment horizontal="center" vertical="center"/>
    </xf>
    <xf numFmtId="2" fontId="18" fillId="2" borderId="8" xfId="0" applyNumberFormat="1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631B-77C5-43C0-B3BC-55FF30F1D039}">
  <dimension ref="A1:P24"/>
  <sheetViews>
    <sheetView view="pageBreakPreview" zoomScale="60" zoomScaleNormal="70" workbookViewId="0">
      <selection sqref="A1:XFD1048576"/>
    </sheetView>
  </sheetViews>
  <sheetFormatPr defaultRowHeight="15" x14ac:dyDescent="0.25"/>
  <cols>
    <col min="1" max="1" width="22" customWidth="1"/>
    <col min="2" max="2" width="16.85546875" customWidth="1"/>
    <col min="3" max="3" width="11.7109375" customWidth="1"/>
    <col min="4" max="4" width="15.85546875" customWidth="1"/>
    <col min="5" max="5" width="15.85546875" hidden="1" customWidth="1"/>
    <col min="6" max="7" width="13.42578125" customWidth="1"/>
    <col min="8" max="8" width="13.42578125" style="113" customWidth="1"/>
    <col min="9" max="9" width="16" customWidth="1"/>
    <col min="10" max="11" width="12.28515625" style="106" customWidth="1"/>
    <col min="12" max="12" width="11" customWidth="1"/>
    <col min="13" max="13" width="19" customWidth="1"/>
    <col min="14" max="14" width="50.140625" customWidth="1"/>
  </cols>
  <sheetData>
    <row r="1" spans="1:14" ht="42" customHeight="1" thickBot="1" x14ac:dyDescent="0.3">
      <c r="A1" s="179" t="s">
        <v>114</v>
      </c>
      <c r="B1" s="180"/>
      <c r="C1" s="180"/>
      <c r="D1" s="180"/>
      <c r="E1" s="181"/>
      <c r="F1" s="181"/>
      <c r="G1" s="181"/>
      <c r="H1" s="181"/>
      <c r="I1" s="181"/>
      <c r="J1" s="181"/>
      <c r="K1" s="181"/>
      <c r="L1" s="181"/>
      <c r="M1" s="181"/>
      <c r="N1" s="182"/>
    </row>
    <row r="2" spans="1:14" ht="53.25" customHeight="1" thickBot="1" x14ac:dyDescent="0.3">
      <c r="A2" s="183" t="s">
        <v>0</v>
      </c>
      <c r="B2" s="184"/>
      <c r="C2" s="184"/>
      <c r="D2" s="185"/>
      <c r="E2" s="186" t="s">
        <v>79</v>
      </c>
      <c r="F2" s="187"/>
      <c r="G2" s="187"/>
      <c r="H2" s="187"/>
      <c r="I2" s="187"/>
      <c r="J2" s="187"/>
      <c r="K2" s="187"/>
      <c r="L2" s="187"/>
      <c r="M2" s="188"/>
      <c r="N2" s="100">
        <f>8913769/1881-260</f>
        <v>4478.8458266879315</v>
      </c>
    </row>
    <row r="3" spans="1:14" ht="63" x14ac:dyDescent="0.25">
      <c r="A3" s="162" t="s">
        <v>1</v>
      </c>
      <c r="B3" s="163" t="s">
        <v>2</v>
      </c>
      <c r="C3" s="163" t="s">
        <v>3</v>
      </c>
      <c r="D3" s="163" t="s">
        <v>4</v>
      </c>
      <c r="E3" s="163" t="s">
        <v>26</v>
      </c>
      <c r="F3" s="163" t="s">
        <v>5</v>
      </c>
      <c r="G3" s="163" t="s">
        <v>80</v>
      </c>
      <c r="H3" s="163" t="s">
        <v>66</v>
      </c>
      <c r="I3" s="163" t="s">
        <v>6</v>
      </c>
      <c r="J3" s="163" t="s">
        <v>7</v>
      </c>
      <c r="K3" s="163" t="s">
        <v>67</v>
      </c>
      <c r="L3" s="163" t="s">
        <v>8</v>
      </c>
      <c r="M3" s="163" t="s">
        <v>119</v>
      </c>
      <c r="N3" s="165" t="s">
        <v>41</v>
      </c>
    </row>
    <row r="4" spans="1:14" ht="84" x14ac:dyDescent="0.35">
      <c r="A4" s="3" t="s">
        <v>9</v>
      </c>
      <c r="B4" s="31" t="s">
        <v>10</v>
      </c>
      <c r="C4" s="9" t="s">
        <v>11</v>
      </c>
      <c r="D4" s="37">
        <v>118.64</v>
      </c>
      <c r="E4" s="45">
        <f>D4*0.25</f>
        <v>29.66</v>
      </c>
      <c r="F4" s="37">
        <v>2823</v>
      </c>
      <c r="G4" s="37"/>
      <c r="H4" s="110">
        <v>20</v>
      </c>
      <c r="I4" s="37">
        <v>124</v>
      </c>
      <c r="J4" s="104">
        <f>F4+I4</f>
        <v>2947</v>
      </c>
      <c r="K4" s="104"/>
      <c r="L4" s="4">
        <f>(J4*0.783)/1000/0.92</f>
        <v>2.5081532608695656</v>
      </c>
      <c r="M4" s="4"/>
      <c r="N4" s="166" t="s">
        <v>30</v>
      </c>
    </row>
    <row r="5" spans="1:14" ht="18.75" x14ac:dyDescent="0.25">
      <c r="A5" s="6" t="s">
        <v>12</v>
      </c>
      <c r="B5" s="32" t="s">
        <v>10</v>
      </c>
      <c r="C5" s="33" t="s">
        <v>11</v>
      </c>
      <c r="D5" s="40">
        <v>42.26</v>
      </c>
      <c r="E5" s="45">
        <f t="shared" ref="E5:E22" si="0">D5*0.25</f>
        <v>10.565</v>
      </c>
      <c r="F5" s="40">
        <v>2823</v>
      </c>
      <c r="G5" s="40"/>
      <c r="H5" s="111">
        <v>80</v>
      </c>
      <c r="I5" s="41">
        <f>216*1.05</f>
        <v>226.8</v>
      </c>
      <c r="J5" s="47">
        <f t="shared" ref="J5:J22" si="1">F5+I5</f>
        <v>3049.8</v>
      </c>
      <c r="K5" s="47"/>
      <c r="L5" s="14">
        <f>(J5*0.849)/1000/0.92</f>
        <v>2.814435</v>
      </c>
      <c r="M5" s="7"/>
      <c r="N5" s="189" t="s">
        <v>29</v>
      </c>
    </row>
    <row r="6" spans="1:14" ht="18.75" x14ac:dyDescent="0.25">
      <c r="A6" s="192" t="s">
        <v>13</v>
      </c>
      <c r="B6" s="9" t="s">
        <v>14</v>
      </c>
      <c r="C6" s="9" t="s">
        <v>11</v>
      </c>
      <c r="D6" s="37">
        <v>22.7</v>
      </c>
      <c r="E6" s="38">
        <f t="shared" si="0"/>
        <v>5.6749999999999998</v>
      </c>
      <c r="F6" s="37">
        <v>3368</v>
      </c>
      <c r="G6" s="37"/>
      <c r="H6" s="110">
        <v>80</v>
      </c>
      <c r="I6" s="37">
        <v>227</v>
      </c>
      <c r="J6" s="104">
        <f>I6+F6</f>
        <v>3595</v>
      </c>
      <c r="K6" s="104"/>
      <c r="L6" s="4">
        <f>(J6*0.665)/1000/0.9375</f>
        <v>2.5500533333333335</v>
      </c>
      <c r="M6" s="4"/>
      <c r="N6" s="190"/>
    </row>
    <row r="7" spans="1:14" ht="18.75" x14ac:dyDescent="0.25">
      <c r="A7" s="193"/>
      <c r="B7" s="9" t="s">
        <v>14</v>
      </c>
      <c r="C7" s="9" t="s">
        <v>15</v>
      </c>
      <c r="D7" s="37">
        <v>20.05</v>
      </c>
      <c r="E7" s="38">
        <f t="shared" si="0"/>
        <v>5.0125000000000002</v>
      </c>
      <c r="F7" s="37">
        <v>4861</v>
      </c>
      <c r="G7" s="37"/>
      <c r="H7" s="110">
        <v>493</v>
      </c>
      <c r="I7" s="37">
        <v>1180</v>
      </c>
      <c r="J7" s="104">
        <f>F7+I7</f>
        <v>6041</v>
      </c>
      <c r="K7" s="104"/>
      <c r="L7" s="4">
        <f>(J7*0.665)/1000/0.9375</f>
        <v>4.2850826666666668</v>
      </c>
      <c r="M7" s="4"/>
      <c r="N7" s="190"/>
    </row>
    <row r="8" spans="1:14" ht="18.75" x14ac:dyDescent="0.25">
      <c r="A8" s="194"/>
      <c r="B8" s="9"/>
      <c r="C8" s="9"/>
      <c r="D8" s="37">
        <f>SUM(D6:D7)</f>
        <v>42.75</v>
      </c>
      <c r="E8" s="38">
        <f t="shared" si="0"/>
        <v>10.6875</v>
      </c>
      <c r="F8" s="39">
        <f>(F6*D6+F7*D7)/D8</f>
        <v>4068.2257309941519</v>
      </c>
      <c r="G8" s="39"/>
      <c r="H8" s="112"/>
      <c r="I8" s="39">
        <f>(I6*D6+I7*D7)/D8</f>
        <v>673.96257309941529</v>
      </c>
      <c r="J8" s="105">
        <f>I8+F8</f>
        <v>4742.1883040935672</v>
      </c>
      <c r="K8" s="105"/>
      <c r="L8" s="64">
        <f>(J8*0.68)/1000/0.9375</f>
        <v>3.4396672499025343</v>
      </c>
      <c r="M8" s="4"/>
      <c r="N8" s="191"/>
    </row>
    <row r="9" spans="1:14" ht="24" x14ac:dyDescent="0.35">
      <c r="A9" s="169" t="s">
        <v>90</v>
      </c>
      <c r="B9" s="167"/>
      <c r="C9" s="33" t="s">
        <v>109</v>
      </c>
      <c r="D9" s="40">
        <v>24.66</v>
      </c>
      <c r="E9" s="103">
        <f t="shared" si="0"/>
        <v>6.165</v>
      </c>
      <c r="F9" s="140">
        <v>2700</v>
      </c>
      <c r="G9" s="140">
        <v>10</v>
      </c>
      <c r="H9" s="141">
        <v>785</v>
      </c>
      <c r="I9" s="140">
        <v>1613</v>
      </c>
      <c r="J9" s="137">
        <f t="shared" ref="J9" si="2">F9+I9</f>
        <v>4313</v>
      </c>
      <c r="K9" s="137">
        <v>3400</v>
      </c>
      <c r="L9" s="175">
        <f>(J9*0.7)/1000/0.9375</f>
        <v>3.2203733333333333</v>
      </c>
      <c r="M9" s="168">
        <v>3.36</v>
      </c>
      <c r="N9" s="171"/>
    </row>
    <row r="10" spans="1:14" ht="18.75" customHeight="1" x14ac:dyDescent="0.25">
      <c r="A10" s="195" t="s">
        <v>18</v>
      </c>
      <c r="B10" s="197" t="s">
        <v>10</v>
      </c>
      <c r="C10" s="108" t="s">
        <v>15</v>
      </c>
      <c r="D10" s="43">
        <v>2.82</v>
      </c>
      <c r="E10" s="38">
        <f t="shared" si="0"/>
        <v>0.70499999999999996</v>
      </c>
      <c r="F10" s="142">
        <v>4497</v>
      </c>
      <c r="G10" s="142">
        <v>0</v>
      </c>
      <c r="H10" s="143">
        <v>1108</v>
      </c>
      <c r="I10" s="142">
        <v>2194</v>
      </c>
      <c r="J10" s="144">
        <f>F10+I10</f>
        <v>6691</v>
      </c>
      <c r="K10" s="144">
        <v>4100</v>
      </c>
      <c r="L10" s="145">
        <f>(J10*0.7)/1000/0.92</f>
        <v>5.0909782608695648</v>
      </c>
      <c r="M10" s="199">
        <v>4.17</v>
      </c>
      <c r="N10" s="189" t="s">
        <v>116</v>
      </c>
    </row>
    <row r="11" spans="1:14" ht="24" x14ac:dyDescent="0.25">
      <c r="A11" s="196"/>
      <c r="B11" s="198"/>
      <c r="C11" s="34" t="s">
        <v>17</v>
      </c>
      <c r="D11" s="43">
        <v>21.69</v>
      </c>
      <c r="E11" s="45">
        <f t="shared" si="0"/>
        <v>5.4225000000000003</v>
      </c>
      <c r="F11" s="142">
        <v>2349</v>
      </c>
      <c r="G11" s="142">
        <v>0</v>
      </c>
      <c r="H11" s="143">
        <v>1098</v>
      </c>
      <c r="I11" s="142">
        <v>2164</v>
      </c>
      <c r="J11" s="146">
        <f>F11+I11</f>
        <v>4513</v>
      </c>
      <c r="K11" s="146">
        <v>3400</v>
      </c>
      <c r="L11" s="145">
        <f>(J11*0.743)/1000/0.92</f>
        <v>3.6447380434782608</v>
      </c>
      <c r="M11" s="199"/>
      <c r="N11" s="190"/>
    </row>
    <row r="12" spans="1:14" ht="24" x14ac:dyDescent="0.25">
      <c r="A12" s="13"/>
      <c r="B12" s="34"/>
      <c r="C12" s="34"/>
      <c r="D12" s="172">
        <f>SUM(D10:D11)</f>
        <v>24.51</v>
      </c>
      <c r="E12" s="45">
        <f t="shared" si="0"/>
        <v>6.1275000000000004</v>
      </c>
      <c r="F12" s="147">
        <f>(F10*D10+F11*D11)/D12</f>
        <v>2596.1383108935129</v>
      </c>
      <c r="G12" s="147"/>
      <c r="H12" s="147"/>
      <c r="I12" s="147">
        <f>(I10*D10+I11*D11)/D12</f>
        <v>2167.451652386781</v>
      </c>
      <c r="J12" s="146">
        <f>F12+I12</f>
        <v>4763.5899632802939</v>
      </c>
      <c r="K12" s="146"/>
      <c r="L12" s="148">
        <f>(J12*0.743)/1000/0.92</f>
        <v>3.8471166768665852</v>
      </c>
      <c r="M12" s="199"/>
      <c r="N12" s="190"/>
    </row>
    <row r="13" spans="1:14" ht="18" customHeight="1" x14ac:dyDescent="0.25">
      <c r="A13" s="200" t="s">
        <v>38</v>
      </c>
      <c r="B13" s="203" t="s">
        <v>21</v>
      </c>
      <c r="C13" s="33" t="s">
        <v>109</v>
      </c>
      <c r="D13" s="40">
        <v>12.33</v>
      </c>
      <c r="E13" s="38">
        <f t="shared" si="0"/>
        <v>3.0825</v>
      </c>
      <c r="F13" s="140">
        <v>2700</v>
      </c>
      <c r="G13" s="140">
        <v>10</v>
      </c>
      <c r="H13" s="141">
        <v>1098</v>
      </c>
      <c r="I13" s="140">
        <v>2164</v>
      </c>
      <c r="J13" s="137">
        <f t="shared" si="1"/>
        <v>4864</v>
      </c>
      <c r="K13" s="137">
        <v>3400</v>
      </c>
      <c r="L13" s="138">
        <f>(J13*0.7)/1000/0.9375</f>
        <v>3.6317866666666663</v>
      </c>
      <c r="M13" s="206">
        <v>3.82</v>
      </c>
      <c r="N13" s="190"/>
    </row>
    <row r="14" spans="1:14" ht="24" x14ac:dyDescent="0.25">
      <c r="A14" s="201"/>
      <c r="B14" s="204"/>
      <c r="C14" s="48" t="s">
        <v>23</v>
      </c>
      <c r="D14" s="46">
        <v>13.59</v>
      </c>
      <c r="E14" s="38">
        <f t="shared" si="0"/>
        <v>3.3975</v>
      </c>
      <c r="F14" s="149">
        <f>2350+650</f>
        <v>3000</v>
      </c>
      <c r="G14" s="149">
        <v>10</v>
      </c>
      <c r="H14" s="150">
        <v>1163</v>
      </c>
      <c r="I14" s="149">
        <v>2325</v>
      </c>
      <c r="J14" s="137">
        <f t="shared" si="1"/>
        <v>5325</v>
      </c>
      <c r="K14" s="137">
        <v>3600</v>
      </c>
      <c r="L14" s="138">
        <f>(J14*0.7)/1000/0.9375</f>
        <v>3.9759999999999995</v>
      </c>
      <c r="M14" s="207"/>
      <c r="N14" s="190"/>
    </row>
    <row r="15" spans="1:14" ht="24" x14ac:dyDescent="0.25">
      <c r="A15" s="202"/>
      <c r="B15" s="205"/>
      <c r="C15" s="48"/>
      <c r="D15" s="46">
        <f>SUM(D13:D14)</f>
        <v>25.92</v>
      </c>
      <c r="E15" s="38">
        <f t="shared" si="0"/>
        <v>6.48</v>
      </c>
      <c r="F15" s="137">
        <f>(D13*F13+F14*D14)/D15</f>
        <v>2857.2916666666665</v>
      </c>
      <c r="G15" s="137"/>
      <c r="H15" s="151"/>
      <c r="I15" s="137">
        <f>(I13*D13+I14*D14)/D15</f>
        <v>2248.4131944444443</v>
      </c>
      <c r="J15" s="137">
        <f t="shared" si="1"/>
        <v>5105.7048611111113</v>
      </c>
      <c r="K15" s="137"/>
      <c r="L15" s="178">
        <f>(J15*0.7)/1000/0.9375</f>
        <v>3.8122596296296294</v>
      </c>
      <c r="M15" s="208"/>
      <c r="N15" s="191"/>
    </row>
    <row r="16" spans="1:14" ht="24" x14ac:dyDescent="0.25">
      <c r="A16" s="192" t="s">
        <v>19</v>
      </c>
      <c r="B16" s="221" t="s">
        <v>10</v>
      </c>
      <c r="C16" s="9" t="s">
        <v>11</v>
      </c>
      <c r="D16" s="37">
        <v>32.47</v>
      </c>
      <c r="E16" s="38">
        <f t="shared" si="0"/>
        <v>8.1174999999999997</v>
      </c>
      <c r="F16" s="153">
        <v>2900</v>
      </c>
      <c r="G16" s="153">
        <v>0</v>
      </c>
      <c r="H16" s="154">
        <v>737</v>
      </c>
      <c r="I16" s="153">
        <v>1613</v>
      </c>
      <c r="J16" s="155">
        <f t="shared" si="1"/>
        <v>4513</v>
      </c>
      <c r="K16" s="155">
        <v>3600</v>
      </c>
      <c r="L16" s="156">
        <f>(J16*0.76)/1000/0.92</f>
        <v>3.7281304347826087</v>
      </c>
      <c r="M16" s="224">
        <v>3.78</v>
      </c>
      <c r="N16" s="212"/>
    </row>
    <row r="17" spans="1:16" ht="24" x14ac:dyDescent="0.25">
      <c r="A17" s="193"/>
      <c r="B17" s="222"/>
      <c r="C17" s="9" t="s">
        <v>17</v>
      </c>
      <c r="D17" s="37">
        <v>8.08</v>
      </c>
      <c r="E17" s="38">
        <f t="shared" si="0"/>
        <v>2.02</v>
      </c>
      <c r="F17" s="153">
        <v>2349</v>
      </c>
      <c r="G17" s="153">
        <v>0</v>
      </c>
      <c r="H17" s="154">
        <v>974</v>
      </c>
      <c r="I17" s="153">
        <v>1959</v>
      </c>
      <c r="J17" s="155">
        <f t="shared" si="1"/>
        <v>4308</v>
      </c>
      <c r="K17" s="155">
        <v>3400</v>
      </c>
      <c r="L17" s="156">
        <f>(J17*0.76)/1000/0.92</f>
        <v>3.558782608695652</v>
      </c>
      <c r="M17" s="225"/>
      <c r="N17" s="213"/>
    </row>
    <row r="18" spans="1:16" ht="24" x14ac:dyDescent="0.25">
      <c r="A18" s="194"/>
      <c r="B18" s="223"/>
      <c r="C18" s="9"/>
      <c r="D18" s="173">
        <f>SUM(D16:D17)</f>
        <v>40.549999999999997</v>
      </c>
      <c r="E18" s="38">
        <f t="shared" si="0"/>
        <v>10.137499999999999</v>
      </c>
      <c r="F18" s="157">
        <f>(F16*D16+F17*D17)/D18</f>
        <v>2790.2076448828607</v>
      </c>
      <c r="G18" s="157"/>
      <c r="H18" s="159"/>
      <c r="I18" s="157">
        <f>(I16*D16+I17*D17)/D18</f>
        <v>1681.9440197287302</v>
      </c>
      <c r="J18" s="160">
        <f t="shared" si="1"/>
        <v>4472.1516646115906</v>
      </c>
      <c r="K18" s="160"/>
      <c r="L18" s="178">
        <f>(J18*0.76)/1000/0.92</f>
        <v>3.6943861577226182</v>
      </c>
      <c r="M18" s="226"/>
      <c r="N18" s="214"/>
    </row>
    <row r="19" spans="1:16" ht="18" customHeight="1" x14ac:dyDescent="0.25">
      <c r="A19" s="200" t="s">
        <v>20</v>
      </c>
      <c r="B19" s="215" t="s">
        <v>21</v>
      </c>
      <c r="C19" s="33" t="s">
        <v>22</v>
      </c>
      <c r="D19" s="40">
        <v>11.05</v>
      </c>
      <c r="E19" s="103">
        <f t="shared" si="0"/>
        <v>2.7625000000000002</v>
      </c>
      <c r="F19" s="140">
        <v>2745</v>
      </c>
      <c r="G19" s="140"/>
      <c r="H19" s="141"/>
      <c r="I19" s="140">
        <v>2342</v>
      </c>
      <c r="J19" s="137">
        <f t="shared" si="1"/>
        <v>5087</v>
      </c>
      <c r="K19" s="137"/>
      <c r="L19" s="138">
        <f>(J19*0.68)/1000/0.9375</f>
        <v>3.689770666666667</v>
      </c>
      <c r="M19" s="206">
        <v>4.38</v>
      </c>
      <c r="N19" s="218" t="s">
        <v>117</v>
      </c>
    </row>
    <row r="20" spans="1:16" ht="24" x14ac:dyDescent="0.25">
      <c r="A20" s="201"/>
      <c r="B20" s="216"/>
      <c r="C20" s="107" t="s">
        <v>15</v>
      </c>
      <c r="D20" s="40">
        <v>10.029999999999999</v>
      </c>
      <c r="E20" s="103">
        <f t="shared" si="0"/>
        <v>2.5074999999999998</v>
      </c>
      <c r="F20" s="140">
        <v>4861</v>
      </c>
      <c r="G20" s="140">
        <v>10</v>
      </c>
      <c r="H20" s="141">
        <v>1111</v>
      </c>
      <c r="I20" s="140">
        <v>2215</v>
      </c>
      <c r="J20" s="139">
        <f t="shared" si="1"/>
        <v>7076</v>
      </c>
      <c r="K20" s="139">
        <v>4100</v>
      </c>
      <c r="L20" s="138">
        <f>(J20*0.65)/1000/0.9375</f>
        <v>4.9060266666666665</v>
      </c>
      <c r="M20" s="207"/>
      <c r="N20" s="219"/>
    </row>
    <row r="21" spans="1:16" ht="24" x14ac:dyDescent="0.25">
      <c r="A21" s="201"/>
      <c r="B21" s="216"/>
      <c r="C21" s="33" t="s">
        <v>23</v>
      </c>
      <c r="D21" s="40">
        <v>27.17</v>
      </c>
      <c r="E21" s="103">
        <f t="shared" si="0"/>
        <v>6.7925000000000004</v>
      </c>
      <c r="F21" s="140">
        <f>2350+650</f>
        <v>3000</v>
      </c>
      <c r="G21" s="140">
        <v>10</v>
      </c>
      <c r="H21" s="141">
        <v>1167</v>
      </c>
      <c r="I21" s="140">
        <v>2305</v>
      </c>
      <c r="J21" s="137">
        <f t="shared" si="1"/>
        <v>5305</v>
      </c>
      <c r="K21" s="137">
        <v>3600</v>
      </c>
      <c r="L21" s="138">
        <f>(J21*0.67)/1000/0.9375</f>
        <v>3.7913066666666668</v>
      </c>
      <c r="M21" s="207"/>
      <c r="N21" s="219"/>
    </row>
    <row r="22" spans="1:16" ht="54.75" customHeight="1" thickBot="1" x14ac:dyDescent="0.3">
      <c r="A22" s="202"/>
      <c r="B22" s="217"/>
      <c r="C22" s="33"/>
      <c r="D22" s="40">
        <f>SUM(D19:D21)</f>
        <v>48.25</v>
      </c>
      <c r="E22" s="103">
        <f t="shared" si="0"/>
        <v>12.0625</v>
      </c>
      <c r="F22" s="135">
        <f>(D19*F19+D20*F20+D21*F21)/D22</f>
        <v>3328.4576165803114</v>
      </c>
      <c r="G22" s="135"/>
      <c r="H22" s="136">
        <v>1120</v>
      </c>
      <c r="I22" s="135">
        <f>(D19*I19+D20*I20+D21*I21)/D22</f>
        <v>2294.7647668393784</v>
      </c>
      <c r="J22" s="137">
        <f t="shared" si="1"/>
        <v>5623.2223834196902</v>
      </c>
      <c r="K22" s="137"/>
      <c r="L22" s="178">
        <f>(J22*0.68)/1000/0.9375</f>
        <v>4.0787106354404159</v>
      </c>
      <c r="M22" s="208"/>
      <c r="N22" s="220"/>
    </row>
    <row r="23" spans="1:16" ht="17.45" customHeight="1" thickBot="1" x14ac:dyDescent="0.3">
      <c r="A23" s="209">
        <v>3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1"/>
      <c r="P23" s="114"/>
    </row>
    <row r="24" spans="1:16" ht="16.5" thickBot="1" x14ac:dyDescent="0.3">
      <c r="A24" s="209" t="s">
        <v>76</v>
      </c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1"/>
    </row>
  </sheetData>
  <mergeCells count="22">
    <mergeCell ref="A23:N23"/>
    <mergeCell ref="A24:N24"/>
    <mergeCell ref="N16:N18"/>
    <mergeCell ref="A19:A22"/>
    <mergeCell ref="B19:B22"/>
    <mergeCell ref="M19:M22"/>
    <mergeCell ref="N19:N22"/>
    <mergeCell ref="A16:A18"/>
    <mergeCell ref="B16:B18"/>
    <mergeCell ref="M16:M18"/>
    <mergeCell ref="A10:A11"/>
    <mergeCell ref="B10:B11"/>
    <mergeCell ref="M10:M12"/>
    <mergeCell ref="N10:N15"/>
    <mergeCell ref="A13:A15"/>
    <mergeCell ref="B13:B15"/>
    <mergeCell ref="M13:M15"/>
    <mergeCell ref="A1:N1"/>
    <mergeCell ref="A2:D2"/>
    <mergeCell ref="E2:M2"/>
    <mergeCell ref="N5:N8"/>
    <mergeCell ref="A6:A8"/>
  </mergeCells>
  <pageMargins left="0.7" right="0.7" top="0.75" bottom="0.75" header="0.3" footer="0.3"/>
  <pageSetup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75E9-907C-4335-BC3F-352496F5114E}">
  <dimension ref="A1:R36"/>
  <sheetViews>
    <sheetView zoomScale="80" zoomScaleNormal="80" workbookViewId="0">
      <selection sqref="A1:XFD1048576"/>
    </sheetView>
  </sheetViews>
  <sheetFormatPr defaultRowHeight="15" x14ac:dyDescent="0.25"/>
  <cols>
    <col min="1" max="1" width="15.85546875" customWidth="1"/>
    <col min="2" max="2" width="16.85546875" customWidth="1"/>
    <col min="3" max="3" width="11.7109375" customWidth="1"/>
    <col min="4" max="4" width="15.85546875" customWidth="1"/>
    <col min="5" max="5" width="15.85546875" hidden="1" customWidth="1"/>
    <col min="6" max="7" width="13.42578125" customWidth="1"/>
    <col min="8" max="8" width="13.42578125" style="113" customWidth="1"/>
    <col min="9" max="9" width="16" customWidth="1"/>
    <col min="10" max="11" width="12.28515625" style="106" customWidth="1"/>
    <col min="12" max="14" width="11" customWidth="1"/>
    <col min="15" max="15" width="19" customWidth="1"/>
    <col min="16" max="16" width="50.140625" customWidth="1"/>
  </cols>
  <sheetData>
    <row r="1" spans="1:16" ht="42" customHeight="1" thickBot="1" x14ac:dyDescent="0.3">
      <c r="A1" s="179" t="s">
        <v>114</v>
      </c>
      <c r="B1" s="180"/>
      <c r="C1" s="180"/>
      <c r="D1" s="180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2"/>
    </row>
    <row r="2" spans="1:16" ht="53.25" customHeight="1" thickBot="1" x14ac:dyDescent="0.3">
      <c r="A2" s="183" t="s">
        <v>0</v>
      </c>
      <c r="B2" s="184"/>
      <c r="C2" s="184"/>
      <c r="D2" s="185"/>
      <c r="E2" s="186" t="s">
        <v>79</v>
      </c>
      <c r="F2" s="187"/>
      <c r="G2" s="187"/>
      <c r="H2" s="187"/>
      <c r="I2" s="187"/>
      <c r="J2" s="187"/>
      <c r="K2" s="187"/>
      <c r="L2" s="187"/>
      <c r="M2" s="188"/>
      <c r="N2" s="188"/>
      <c r="O2" s="188"/>
      <c r="P2" s="100"/>
    </row>
    <row r="3" spans="1:16" ht="78.75" x14ac:dyDescent="0.25">
      <c r="A3" s="162" t="s">
        <v>1</v>
      </c>
      <c r="B3" s="163" t="s">
        <v>2</v>
      </c>
      <c r="C3" s="163" t="s">
        <v>3</v>
      </c>
      <c r="D3" s="163" t="s">
        <v>4</v>
      </c>
      <c r="E3" s="163" t="s">
        <v>26</v>
      </c>
      <c r="F3" s="163" t="s">
        <v>5</v>
      </c>
      <c r="G3" s="163" t="s">
        <v>80</v>
      </c>
      <c r="H3" s="163" t="s">
        <v>66</v>
      </c>
      <c r="I3" s="163" t="s">
        <v>6</v>
      </c>
      <c r="J3" s="163" t="s">
        <v>7</v>
      </c>
      <c r="K3" s="163" t="s">
        <v>67</v>
      </c>
      <c r="L3" s="163" t="s">
        <v>8</v>
      </c>
      <c r="M3" s="163" t="s">
        <v>121</v>
      </c>
      <c r="N3" s="163" t="s">
        <v>120</v>
      </c>
      <c r="O3" s="163" t="s">
        <v>118</v>
      </c>
      <c r="P3" s="165" t="s">
        <v>41</v>
      </c>
    </row>
    <row r="4" spans="1:16" ht="84" hidden="1" customHeight="1" x14ac:dyDescent="0.35">
      <c r="A4" s="3" t="s">
        <v>9</v>
      </c>
      <c r="B4" s="31" t="s">
        <v>10</v>
      </c>
      <c r="C4" s="9" t="s">
        <v>11</v>
      </c>
      <c r="D4" s="37">
        <v>118.64</v>
      </c>
      <c r="E4" s="45">
        <f>D4*0.25</f>
        <v>29.66</v>
      </c>
      <c r="F4" s="37">
        <v>2823</v>
      </c>
      <c r="G4" s="37"/>
      <c r="H4" s="110">
        <v>20</v>
      </c>
      <c r="I4" s="37">
        <v>124</v>
      </c>
      <c r="J4" s="104">
        <f>F4+I4</f>
        <v>2947</v>
      </c>
      <c r="K4" s="104"/>
      <c r="L4" s="4">
        <f>(J4*0.783)/1000/0.92</f>
        <v>2.5081532608695656</v>
      </c>
      <c r="M4" s="4"/>
      <c r="N4" s="4"/>
      <c r="O4" s="4"/>
      <c r="P4" s="166" t="s">
        <v>30</v>
      </c>
    </row>
    <row r="5" spans="1:16" ht="18" hidden="1" customHeight="1" x14ac:dyDescent="0.25">
      <c r="A5" s="6" t="s">
        <v>12</v>
      </c>
      <c r="B5" s="32" t="s">
        <v>10</v>
      </c>
      <c r="C5" s="33" t="s">
        <v>11</v>
      </c>
      <c r="D5" s="40">
        <v>42.26</v>
      </c>
      <c r="E5" s="45">
        <f t="shared" ref="E5:E31" si="0">D5*0.25</f>
        <v>10.565</v>
      </c>
      <c r="F5" s="40">
        <v>2823</v>
      </c>
      <c r="G5" s="40"/>
      <c r="H5" s="111">
        <v>80</v>
      </c>
      <c r="I5" s="41">
        <f>216*1.05</f>
        <v>226.8</v>
      </c>
      <c r="J5" s="47">
        <f t="shared" ref="J5:J31" si="1">F5+I5</f>
        <v>3049.8</v>
      </c>
      <c r="K5" s="47"/>
      <c r="L5" s="14">
        <f>(J5*0.849)/1000/0.92</f>
        <v>2.814435</v>
      </c>
      <c r="M5" s="14"/>
      <c r="N5" s="14"/>
      <c r="O5" s="7"/>
      <c r="P5" s="189" t="s">
        <v>29</v>
      </c>
    </row>
    <row r="6" spans="1:16" ht="18" hidden="1" customHeight="1" x14ac:dyDescent="0.25">
      <c r="A6" s="192" t="s">
        <v>13</v>
      </c>
      <c r="B6" s="9" t="s">
        <v>14</v>
      </c>
      <c r="C6" s="9" t="s">
        <v>11</v>
      </c>
      <c r="D6" s="37">
        <v>22.7</v>
      </c>
      <c r="E6" s="38">
        <f t="shared" si="0"/>
        <v>5.6749999999999998</v>
      </c>
      <c r="F6" s="37">
        <v>3368</v>
      </c>
      <c r="G6" s="37"/>
      <c r="H6" s="110">
        <v>80</v>
      </c>
      <c r="I6" s="37">
        <v>227</v>
      </c>
      <c r="J6" s="104">
        <f>I6+F6</f>
        <v>3595</v>
      </c>
      <c r="K6" s="104"/>
      <c r="L6" s="4">
        <f>(J6*0.665)/1000/0.9375</f>
        <v>2.5500533333333335</v>
      </c>
      <c r="M6" s="4"/>
      <c r="N6" s="4"/>
      <c r="O6" s="4"/>
      <c r="P6" s="190"/>
    </row>
    <row r="7" spans="1:16" ht="18" hidden="1" customHeight="1" x14ac:dyDescent="0.25">
      <c r="A7" s="193"/>
      <c r="B7" s="9" t="s">
        <v>14</v>
      </c>
      <c r="C7" s="9" t="s">
        <v>15</v>
      </c>
      <c r="D7" s="37">
        <v>20.05</v>
      </c>
      <c r="E7" s="38">
        <f t="shared" si="0"/>
        <v>5.0125000000000002</v>
      </c>
      <c r="F7" s="37">
        <v>4861</v>
      </c>
      <c r="G7" s="37"/>
      <c r="H7" s="110">
        <v>493</v>
      </c>
      <c r="I7" s="37">
        <v>1180</v>
      </c>
      <c r="J7" s="104">
        <f>F7+I7</f>
        <v>6041</v>
      </c>
      <c r="K7" s="104"/>
      <c r="L7" s="4">
        <f>(J7*0.665)/1000/0.9375</f>
        <v>4.2850826666666668</v>
      </c>
      <c r="M7" s="4"/>
      <c r="N7" s="4"/>
      <c r="O7" s="4"/>
      <c r="P7" s="190"/>
    </row>
    <row r="8" spans="1:16" ht="18" hidden="1" customHeight="1" x14ac:dyDescent="0.25">
      <c r="A8" s="194"/>
      <c r="B8" s="9"/>
      <c r="C8" s="9"/>
      <c r="D8" s="37">
        <f>SUM(D6:D7)</f>
        <v>42.75</v>
      </c>
      <c r="E8" s="38">
        <f t="shared" si="0"/>
        <v>10.6875</v>
      </c>
      <c r="F8" s="39">
        <f>(F6*D6+F7*D7)/D8</f>
        <v>4068.2257309941519</v>
      </c>
      <c r="G8" s="39"/>
      <c r="H8" s="112"/>
      <c r="I8" s="39">
        <f>(I6*D6+I7*D7)/D8</f>
        <v>673.96257309941529</v>
      </c>
      <c r="J8" s="105">
        <f>I8+F8</f>
        <v>4742.1883040935672</v>
      </c>
      <c r="K8" s="105"/>
      <c r="L8" s="64">
        <f>(J8*0.68)/1000/0.9375</f>
        <v>3.4396672499025343</v>
      </c>
      <c r="M8" s="64"/>
      <c r="N8" s="64"/>
      <c r="O8" s="4"/>
      <c r="P8" s="191"/>
    </row>
    <row r="9" spans="1:16" ht="31.15" customHeight="1" x14ac:dyDescent="0.25">
      <c r="A9" s="227" t="s">
        <v>16</v>
      </c>
      <c r="B9" s="215" t="s">
        <v>14</v>
      </c>
      <c r="C9" s="33" t="s">
        <v>110</v>
      </c>
      <c r="D9" s="40"/>
      <c r="E9" s="103"/>
      <c r="F9" s="135">
        <v>3368</v>
      </c>
      <c r="G9" s="135">
        <v>10</v>
      </c>
      <c r="H9" s="136">
        <v>499</v>
      </c>
      <c r="I9" s="135">
        <v>1129</v>
      </c>
      <c r="J9" s="137">
        <f>I9+F9</f>
        <v>4497</v>
      </c>
      <c r="K9" s="137">
        <v>3600</v>
      </c>
      <c r="L9" s="138">
        <f>(J9*0.681)/1000/0.9375</f>
        <v>3.2666208000000001</v>
      </c>
      <c r="M9" s="206">
        <v>3.22</v>
      </c>
      <c r="N9" s="138">
        <v>1.5</v>
      </c>
      <c r="O9" s="230">
        <f>(L9*N9+L10*1.5+L11*21.66)/D11</f>
        <v>3.3071822871046224</v>
      </c>
      <c r="P9" s="231" t="s">
        <v>122</v>
      </c>
    </row>
    <row r="10" spans="1:16" ht="34.9" customHeight="1" x14ac:dyDescent="0.25">
      <c r="A10" s="228"/>
      <c r="B10" s="216"/>
      <c r="C10" s="107" t="s">
        <v>15</v>
      </c>
      <c r="D10" s="40"/>
      <c r="E10" s="103"/>
      <c r="F10" s="135">
        <v>4861</v>
      </c>
      <c r="G10" s="135">
        <v>10</v>
      </c>
      <c r="H10" s="136">
        <v>796</v>
      </c>
      <c r="I10" s="135">
        <v>1665</v>
      </c>
      <c r="J10" s="139">
        <f>I10+F10</f>
        <v>6526</v>
      </c>
      <c r="K10" s="139">
        <v>4100</v>
      </c>
      <c r="L10" s="138">
        <f>(J10*0.661)/1000/0.9375</f>
        <v>4.6012650666666675</v>
      </c>
      <c r="M10" s="207"/>
      <c r="N10" s="138">
        <v>1.5</v>
      </c>
      <c r="O10" s="230"/>
      <c r="P10" s="232"/>
    </row>
    <row r="11" spans="1:16" ht="34.9" customHeight="1" x14ac:dyDescent="0.25">
      <c r="A11" s="228"/>
      <c r="B11" s="216"/>
      <c r="C11" s="33" t="s">
        <v>109</v>
      </c>
      <c r="D11" s="40">
        <v>24.66</v>
      </c>
      <c r="E11" s="103">
        <f>D11*0.25</f>
        <v>6.165</v>
      </c>
      <c r="F11" s="140">
        <v>2700</v>
      </c>
      <c r="G11" s="140">
        <v>10</v>
      </c>
      <c r="H11" s="141">
        <v>785</v>
      </c>
      <c r="I11" s="140">
        <v>1613</v>
      </c>
      <c r="J11" s="137">
        <f t="shared" ref="J11" si="2">F11+I11</f>
        <v>4313</v>
      </c>
      <c r="K11" s="137">
        <v>3400</v>
      </c>
      <c r="L11" s="138">
        <f>(J11*0.7)/1000/0.9375</f>
        <v>3.2203733333333333</v>
      </c>
      <c r="M11" s="207"/>
      <c r="N11" s="138">
        <f>D11-3</f>
        <v>21.66</v>
      </c>
      <c r="O11" s="230"/>
      <c r="P11" s="232"/>
    </row>
    <row r="12" spans="1:16" ht="33.6" customHeight="1" x14ac:dyDescent="0.25">
      <c r="A12" s="229"/>
      <c r="B12" s="217"/>
      <c r="D12" s="177">
        <v>24.66</v>
      </c>
      <c r="M12" s="208"/>
      <c r="N12" s="152">
        <f>N9+N10+N11</f>
        <v>24.66</v>
      </c>
      <c r="O12" s="230"/>
      <c r="P12" s="233"/>
    </row>
    <row r="13" spans="1:16" ht="18.75" customHeight="1" x14ac:dyDescent="0.25">
      <c r="A13" s="195" t="s">
        <v>18</v>
      </c>
      <c r="B13" s="197" t="s">
        <v>10</v>
      </c>
      <c r="C13" s="108" t="s">
        <v>15</v>
      </c>
      <c r="D13" s="43">
        <v>2.82</v>
      </c>
      <c r="E13" s="38">
        <f t="shared" si="0"/>
        <v>0.70499999999999996</v>
      </c>
      <c r="F13" s="142">
        <v>4497</v>
      </c>
      <c r="G13" s="142">
        <v>0</v>
      </c>
      <c r="H13" s="143">
        <v>1108</v>
      </c>
      <c r="I13" s="142">
        <v>2194</v>
      </c>
      <c r="J13" s="144">
        <f>F13+I13</f>
        <v>6691</v>
      </c>
      <c r="K13" s="144">
        <v>4100</v>
      </c>
      <c r="L13" s="145">
        <f>(J13*0.7)/1000/0.92</f>
        <v>5.0909782608695648</v>
      </c>
      <c r="M13" s="235">
        <v>3.85</v>
      </c>
      <c r="N13" s="145">
        <v>2.82</v>
      </c>
      <c r="O13" s="199">
        <v>3.85</v>
      </c>
      <c r="P13" s="189"/>
    </row>
    <row r="14" spans="1:16" ht="24" x14ac:dyDescent="0.25">
      <c r="A14" s="196"/>
      <c r="B14" s="198"/>
      <c r="C14" s="34" t="s">
        <v>17</v>
      </c>
      <c r="D14" s="43">
        <v>21.69</v>
      </c>
      <c r="E14" s="45">
        <f t="shared" si="0"/>
        <v>5.4225000000000003</v>
      </c>
      <c r="F14" s="142">
        <v>2349</v>
      </c>
      <c r="G14" s="142">
        <v>0</v>
      </c>
      <c r="H14" s="143">
        <v>1098</v>
      </c>
      <c r="I14" s="142">
        <v>2164</v>
      </c>
      <c r="J14" s="146">
        <f>F14+I14</f>
        <v>4513</v>
      </c>
      <c r="K14" s="146">
        <v>3400</v>
      </c>
      <c r="L14" s="145">
        <f>(J14*0.743)/1000/0.92</f>
        <v>3.6447380434782608</v>
      </c>
      <c r="M14" s="236"/>
      <c r="N14" s="170">
        <f>21.69-1.5</f>
        <v>20.190000000000001</v>
      </c>
      <c r="O14" s="199"/>
      <c r="P14" s="190"/>
    </row>
    <row r="15" spans="1:16" ht="24" x14ac:dyDescent="0.25">
      <c r="A15" s="13"/>
      <c r="B15" s="34"/>
      <c r="C15" s="34"/>
      <c r="D15" s="172">
        <f>SUM(D13:D14)</f>
        <v>24.51</v>
      </c>
      <c r="E15" s="45">
        <f t="shared" si="0"/>
        <v>6.1275000000000004</v>
      </c>
      <c r="F15" s="147">
        <f>(F13*D13+F14*D14)/D15</f>
        <v>2596.1383108935129</v>
      </c>
      <c r="G15" s="147"/>
      <c r="H15" s="147"/>
      <c r="I15" s="147">
        <f>(I13*D13+I14*D14)/D15</f>
        <v>2167.451652386781</v>
      </c>
      <c r="J15" s="146">
        <f>F15+I15</f>
        <v>4763.5899632802939</v>
      </c>
      <c r="K15" s="146"/>
      <c r="L15" s="148">
        <f>(J15*0.743)/1000/0.92</f>
        <v>3.8471166768665852</v>
      </c>
      <c r="M15" s="237"/>
      <c r="N15" s="148">
        <f>N14+N13</f>
        <v>23.01</v>
      </c>
      <c r="O15" s="199"/>
      <c r="P15" s="190"/>
    </row>
    <row r="16" spans="1:16" ht="18" customHeight="1" x14ac:dyDescent="0.25">
      <c r="A16" s="200" t="s">
        <v>38</v>
      </c>
      <c r="B16" s="203" t="s">
        <v>21</v>
      </c>
      <c r="C16" s="33" t="s">
        <v>109</v>
      </c>
      <c r="D16" s="40">
        <v>12.33</v>
      </c>
      <c r="E16" s="38">
        <f t="shared" si="0"/>
        <v>3.0825</v>
      </c>
      <c r="F16" s="140">
        <v>2700</v>
      </c>
      <c r="G16" s="140">
        <v>10</v>
      </c>
      <c r="H16" s="141">
        <v>1098</v>
      </c>
      <c r="I16" s="140">
        <v>2164</v>
      </c>
      <c r="J16" s="137">
        <f t="shared" si="1"/>
        <v>4864</v>
      </c>
      <c r="K16" s="137">
        <v>3400</v>
      </c>
      <c r="L16" s="138">
        <f>(J16*0.7)/1000/0.9375</f>
        <v>3.6317866666666663</v>
      </c>
      <c r="M16" s="238">
        <v>3.81</v>
      </c>
      <c r="N16" s="138">
        <v>10.33</v>
      </c>
      <c r="O16" s="206">
        <f>(N16*L16+N18*L18+L19*N19)/D20</f>
        <v>3.4845805144032913</v>
      </c>
      <c r="P16" s="190"/>
    </row>
    <row r="17" spans="1:18" ht="24" x14ac:dyDescent="0.25">
      <c r="A17" s="201"/>
      <c r="B17" s="204"/>
      <c r="C17" s="33" t="s">
        <v>11</v>
      </c>
      <c r="D17" s="40"/>
      <c r="E17" s="38"/>
      <c r="F17" s="140">
        <v>3368</v>
      </c>
      <c r="G17" s="140">
        <v>10</v>
      </c>
      <c r="H17" s="141">
        <v>812</v>
      </c>
      <c r="I17" s="140">
        <v>1688</v>
      </c>
      <c r="J17" s="137">
        <f>I17+F17</f>
        <v>5056</v>
      </c>
      <c r="K17" s="137">
        <v>3600</v>
      </c>
      <c r="L17" s="138">
        <f>(J17*0.67)/1000/0.9375</f>
        <v>3.6133546666666665</v>
      </c>
      <c r="M17" s="239"/>
      <c r="N17" s="138"/>
      <c r="O17" s="207"/>
      <c r="P17" s="190"/>
    </row>
    <row r="18" spans="1:18" ht="24" x14ac:dyDescent="0.25">
      <c r="A18" s="201"/>
      <c r="B18" s="204"/>
      <c r="C18" s="107" t="s">
        <v>15</v>
      </c>
      <c r="D18" s="40"/>
      <c r="E18" s="38"/>
      <c r="F18" s="140">
        <v>4861</v>
      </c>
      <c r="G18" s="140">
        <v>10</v>
      </c>
      <c r="H18" s="141">
        <v>1108</v>
      </c>
      <c r="I18" s="140">
        <v>2194</v>
      </c>
      <c r="J18" s="139">
        <f>I18+F18</f>
        <v>7055</v>
      </c>
      <c r="K18" s="139">
        <v>4100</v>
      </c>
      <c r="L18" s="138">
        <f>(J18*0.65)/1000/0.9375</f>
        <v>4.8914666666666671</v>
      </c>
      <c r="M18" s="239"/>
      <c r="N18" s="138">
        <v>1</v>
      </c>
      <c r="O18" s="207"/>
      <c r="P18" s="190"/>
    </row>
    <row r="19" spans="1:18" ht="24" x14ac:dyDescent="0.25">
      <c r="A19" s="201"/>
      <c r="B19" s="204"/>
      <c r="C19" s="48" t="s">
        <v>23</v>
      </c>
      <c r="D19" s="174">
        <v>13.59</v>
      </c>
      <c r="E19" s="38">
        <f t="shared" si="0"/>
        <v>3.3975</v>
      </c>
      <c r="F19" s="149">
        <f>2350+650</f>
        <v>3000</v>
      </c>
      <c r="G19" s="149">
        <v>10</v>
      </c>
      <c r="H19" s="150">
        <v>1163</v>
      </c>
      <c r="I19" s="149">
        <v>2325</v>
      </c>
      <c r="J19" s="137">
        <f t="shared" si="1"/>
        <v>5325</v>
      </c>
      <c r="K19" s="137">
        <v>3600</v>
      </c>
      <c r="L19" s="138">
        <f>(J19*0.67)/1000/0.9375</f>
        <v>3.8056000000000001</v>
      </c>
      <c r="M19" s="239"/>
      <c r="N19" s="175">
        <v>12.59</v>
      </c>
      <c r="O19" s="207"/>
      <c r="P19" s="190"/>
    </row>
    <row r="20" spans="1:18" ht="24" x14ac:dyDescent="0.25">
      <c r="A20" s="202"/>
      <c r="B20" s="205"/>
      <c r="C20" s="48"/>
      <c r="D20" s="46">
        <f>SUM(D16:D19)</f>
        <v>25.92</v>
      </c>
      <c r="E20" s="38">
        <f t="shared" si="0"/>
        <v>6.48</v>
      </c>
      <c r="F20" s="137">
        <f>(D16*F16+F19*D19)/D20</f>
        <v>2857.2916666666665</v>
      </c>
      <c r="G20" s="137"/>
      <c r="H20" s="151"/>
      <c r="I20" s="137">
        <f>(I16*D16+I19*D19)/D20</f>
        <v>2248.4131944444443</v>
      </c>
      <c r="J20" s="137">
        <f t="shared" si="1"/>
        <v>5105.7048611111113</v>
      </c>
      <c r="K20" s="137"/>
      <c r="L20" s="152">
        <f>(J20*0.68)/1000/0.9375</f>
        <v>3.7033379259259269</v>
      </c>
      <c r="M20" s="240"/>
      <c r="N20" s="152">
        <f>N16+N18+N19</f>
        <v>23.92</v>
      </c>
      <c r="O20" s="208"/>
      <c r="P20" s="191"/>
    </row>
    <row r="21" spans="1:18" ht="24" x14ac:dyDescent="0.25">
      <c r="A21" s="192" t="s">
        <v>19</v>
      </c>
      <c r="B21" s="221" t="s">
        <v>10</v>
      </c>
      <c r="C21" s="9" t="s">
        <v>11</v>
      </c>
      <c r="D21" s="37">
        <v>32.47</v>
      </c>
      <c r="E21" s="38">
        <f t="shared" si="0"/>
        <v>8.1174999999999997</v>
      </c>
      <c r="F21" s="153">
        <v>2900</v>
      </c>
      <c r="G21" s="153">
        <v>0</v>
      </c>
      <c r="H21" s="154">
        <v>737</v>
      </c>
      <c r="I21" s="153">
        <v>1613</v>
      </c>
      <c r="J21" s="155">
        <f t="shared" si="1"/>
        <v>4513</v>
      </c>
      <c r="K21" s="155">
        <v>3600</v>
      </c>
      <c r="L21" s="156">
        <f>(J21*0.76)/1000/0.92</f>
        <v>3.7281304347826087</v>
      </c>
      <c r="M21" s="224">
        <v>3.69</v>
      </c>
      <c r="N21" s="156">
        <f>D21-1.5-1</f>
        <v>29.97</v>
      </c>
      <c r="O21" s="224">
        <f>(L21*N21+L22*N22+N23*L23+N24*L24)/N25</f>
        <v>3.734682839221573</v>
      </c>
      <c r="P21" s="212" t="s">
        <v>77</v>
      </c>
    </row>
    <row r="22" spans="1:18" ht="24" x14ac:dyDescent="0.25">
      <c r="A22" s="193"/>
      <c r="B22" s="222"/>
      <c r="C22" s="9" t="s">
        <v>23</v>
      </c>
      <c r="D22" s="37"/>
      <c r="E22" s="38"/>
      <c r="F22" s="153">
        <v>3000</v>
      </c>
      <c r="G22" s="153">
        <v>10</v>
      </c>
      <c r="H22" s="154">
        <v>760</v>
      </c>
      <c r="I22" s="157">
        <f>1558*1.05</f>
        <v>1635.9</v>
      </c>
      <c r="J22" s="155">
        <f>I22+F22</f>
        <v>4635.8999999999996</v>
      </c>
      <c r="K22" s="155">
        <v>3600</v>
      </c>
      <c r="L22" s="156">
        <f>(J22*0.76)/1000/0.92</f>
        <v>3.8296565217391301</v>
      </c>
      <c r="M22" s="225"/>
      <c r="N22" s="156">
        <v>2</v>
      </c>
      <c r="O22" s="225"/>
      <c r="P22" s="213"/>
    </row>
    <row r="23" spans="1:18" ht="24" x14ac:dyDescent="0.25">
      <c r="A23" s="193"/>
      <c r="B23" s="222"/>
      <c r="C23" s="109" t="s">
        <v>15</v>
      </c>
      <c r="D23" s="37"/>
      <c r="E23" s="38"/>
      <c r="F23" s="153">
        <v>4497</v>
      </c>
      <c r="G23" s="153">
        <v>0</v>
      </c>
      <c r="H23" s="154">
        <v>985</v>
      </c>
      <c r="I23" s="153">
        <v>1987</v>
      </c>
      <c r="J23" s="158">
        <f>I23+F23</f>
        <v>6484</v>
      </c>
      <c r="K23" s="158">
        <v>4100</v>
      </c>
      <c r="L23" s="156">
        <f>(J23*0.72)/1000/0.92</f>
        <v>5.0744347826086953</v>
      </c>
      <c r="M23" s="225"/>
      <c r="N23" s="156">
        <v>1</v>
      </c>
      <c r="O23" s="225"/>
      <c r="P23" s="213"/>
    </row>
    <row r="24" spans="1:18" ht="24" x14ac:dyDescent="0.25">
      <c r="A24" s="193"/>
      <c r="B24" s="222"/>
      <c r="C24" s="9" t="s">
        <v>17</v>
      </c>
      <c r="D24" s="37">
        <v>8.08</v>
      </c>
      <c r="E24" s="38">
        <f t="shared" si="0"/>
        <v>2.02</v>
      </c>
      <c r="F24" s="153">
        <v>2349</v>
      </c>
      <c r="G24" s="153">
        <v>0</v>
      </c>
      <c r="H24" s="154">
        <v>974</v>
      </c>
      <c r="I24" s="153">
        <v>1959</v>
      </c>
      <c r="J24" s="155">
        <f t="shared" si="1"/>
        <v>4308</v>
      </c>
      <c r="K24" s="155">
        <v>3400</v>
      </c>
      <c r="L24" s="156">
        <f>(J24*0.76)/1000/0.92</f>
        <v>3.558782608695652</v>
      </c>
      <c r="M24" s="225"/>
      <c r="N24" s="156">
        <f>D24-0.5</f>
        <v>7.58</v>
      </c>
      <c r="O24" s="225"/>
      <c r="P24" s="213"/>
    </row>
    <row r="25" spans="1:18" ht="24" x14ac:dyDescent="0.25">
      <c r="A25" s="194"/>
      <c r="B25" s="223"/>
      <c r="C25" s="9"/>
      <c r="D25" s="37">
        <f>SUM(D21:D24)</f>
        <v>40.549999999999997</v>
      </c>
      <c r="E25" s="38">
        <f t="shared" si="0"/>
        <v>10.137499999999999</v>
      </c>
      <c r="F25" s="157">
        <f>(F21*D21+F24*D24)/D25</f>
        <v>2790.2076448828607</v>
      </c>
      <c r="G25" s="157"/>
      <c r="H25" s="159"/>
      <c r="I25" s="157">
        <f>(I21*D21+I24*D24)/D25</f>
        <v>1681.9440197287302</v>
      </c>
      <c r="J25" s="160">
        <f t="shared" si="1"/>
        <v>4472.1516646115906</v>
      </c>
      <c r="K25" s="160"/>
      <c r="L25" s="161">
        <f>(J25*0.74)/1000/0.92</f>
        <v>3.5971654693614967</v>
      </c>
      <c r="M25" s="226"/>
      <c r="N25" s="161">
        <f>N21+N22+N23+N24</f>
        <v>40.549999999999997</v>
      </c>
      <c r="O25" s="226"/>
      <c r="P25" s="214"/>
    </row>
    <row r="26" spans="1:18" ht="18" customHeight="1" x14ac:dyDescent="0.25">
      <c r="A26" s="200" t="s">
        <v>20</v>
      </c>
      <c r="B26" s="215" t="s">
        <v>21</v>
      </c>
      <c r="C26" s="33" t="s">
        <v>22</v>
      </c>
      <c r="D26" s="40">
        <v>11.05</v>
      </c>
      <c r="E26" s="103">
        <f t="shared" si="0"/>
        <v>2.7625000000000002</v>
      </c>
      <c r="F26" s="140">
        <v>2745</v>
      </c>
      <c r="G26" s="140"/>
      <c r="H26" s="141"/>
      <c r="I26" s="140">
        <v>2342</v>
      </c>
      <c r="J26" s="137">
        <f t="shared" si="1"/>
        <v>5087</v>
      </c>
      <c r="K26" s="137"/>
      <c r="L26" s="138">
        <f>(J26*0.72)/1000/0.9375</f>
        <v>3.9068159999999996</v>
      </c>
      <c r="M26" s="238">
        <v>4.08</v>
      </c>
      <c r="N26" s="138">
        <v>0</v>
      </c>
      <c r="O26" s="206">
        <f>(L27*N27+L28*N28+L29*N29+L30*N30)/N31</f>
        <v>3.9281152235872234</v>
      </c>
      <c r="P26" s="218" t="s">
        <v>115</v>
      </c>
    </row>
    <row r="27" spans="1:18" ht="24" x14ac:dyDescent="0.25">
      <c r="A27" s="201"/>
      <c r="B27" s="216"/>
      <c r="C27" s="33" t="s">
        <v>11</v>
      </c>
      <c r="D27" s="40"/>
      <c r="E27" s="103"/>
      <c r="F27" s="140">
        <v>3368</v>
      </c>
      <c r="G27" s="140">
        <v>10</v>
      </c>
      <c r="H27" s="141">
        <v>815</v>
      </c>
      <c r="I27" s="140">
        <v>1708</v>
      </c>
      <c r="J27" s="137">
        <f t="shared" si="1"/>
        <v>5076</v>
      </c>
      <c r="K27" s="137">
        <v>3600</v>
      </c>
      <c r="L27" s="138">
        <f>(J27*0.67)/1000/0.9375</f>
        <v>3.6276480000000002</v>
      </c>
      <c r="M27" s="239"/>
      <c r="N27" s="138">
        <v>1</v>
      </c>
      <c r="O27" s="207"/>
      <c r="P27" s="219"/>
    </row>
    <row r="28" spans="1:18" ht="24" x14ac:dyDescent="0.25">
      <c r="A28" s="201"/>
      <c r="B28" s="216"/>
      <c r="C28" s="33" t="s">
        <v>17</v>
      </c>
      <c r="D28" s="40"/>
      <c r="E28" s="103"/>
      <c r="F28" s="140">
        <v>2700</v>
      </c>
      <c r="G28" s="140">
        <v>10</v>
      </c>
      <c r="H28" s="141">
        <v>1101</v>
      </c>
      <c r="I28" s="140">
        <v>2215</v>
      </c>
      <c r="J28" s="137">
        <f>I28+F28</f>
        <v>4915</v>
      </c>
      <c r="K28" s="137">
        <v>3400</v>
      </c>
      <c r="L28" s="138">
        <f>(J28*0.681)/1000/0.9375</f>
        <v>3.5702560000000001</v>
      </c>
      <c r="M28" s="239"/>
      <c r="N28" s="138">
        <v>7</v>
      </c>
      <c r="O28" s="207"/>
      <c r="P28" s="219"/>
    </row>
    <row r="29" spans="1:18" ht="24" x14ac:dyDescent="0.25">
      <c r="A29" s="201"/>
      <c r="B29" s="216"/>
      <c r="C29" s="107" t="s">
        <v>15</v>
      </c>
      <c r="D29" s="40">
        <v>10.029999999999999</v>
      </c>
      <c r="E29" s="103">
        <f t="shared" si="0"/>
        <v>2.5074999999999998</v>
      </c>
      <c r="F29" s="140">
        <v>4861</v>
      </c>
      <c r="G29" s="140">
        <v>10</v>
      </c>
      <c r="H29" s="141">
        <v>1111</v>
      </c>
      <c r="I29" s="140">
        <v>2215</v>
      </c>
      <c r="J29" s="139">
        <f t="shared" si="1"/>
        <v>7076</v>
      </c>
      <c r="K29" s="139">
        <v>4100</v>
      </c>
      <c r="L29" s="138">
        <f>(J29*0.65)/1000/0.9375</f>
        <v>4.9060266666666665</v>
      </c>
      <c r="M29" s="239"/>
      <c r="N29" s="138">
        <f>D29-3.5</f>
        <v>6.5299999999999994</v>
      </c>
      <c r="O29" s="207"/>
      <c r="P29" s="219"/>
    </row>
    <row r="30" spans="1:18" ht="24" x14ac:dyDescent="0.25">
      <c r="A30" s="201"/>
      <c r="B30" s="216"/>
      <c r="C30" s="33" t="s">
        <v>23</v>
      </c>
      <c r="D30" s="40">
        <v>27.17</v>
      </c>
      <c r="E30" s="103">
        <f t="shared" si="0"/>
        <v>6.7925000000000004</v>
      </c>
      <c r="F30" s="140">
        <f>2350+650</f>
        <v>3000</v>
      </c>
      <c r="G30" s="140">
        <v>10</v>
      </c>
      <c r="H30" s="141">
        <v>1167</v>
      </c>
      <c r="I30" s="140">
        <v>2305</v>
      </c>
      <c r="J30" s="137">
        <f t="shared" si="1"/>
        <v>5305</v>
      </c>
      <c r="K30" s="137">
        <v>3600</v>
      </c>
      <c r="L30" s="138">
        <f>(J30*0.67)/1000/0.9375</f>
        <v>3.7913066666666668</v>
      </c>
      <c r="M30" s="239"/>
      <c r="N30" s="138">
        <v>26.17</v>
      </c>
      <c r="O30" s="207"/>
      <c r="P30" s="219"/>
    </row>
    <row r="31" spans="1:18" ht="54.75" customHeight="1" thickBot="1" x14ac:dyDescent="0.3">
      <c r="A31" s="202"/>
      <c r="B31" s="217"/>
      <c r="C31" s="33"/>
      <c r="D31" s="40">
        <f>SUM(D26:D30)</f>
        <v>48.25</v>
      </c>
      <c r="E31" s="103">
        <f t="shared" si="0"/>
        <v>12.0625</v>
      </c>
      <c r="F31" s="135">
        <f>(D26*F26+D29*F29+D30*F30)/D31</f>
        <v>3328.4576165803114</v>
      </c>
      <c r="G31" s="135"/>
      <c r="H31" s="136">
        <v>1120</v>
      </c>
      <c r="I31" s="135">
        <f>(D26*I26+D29*I29+D30*I30)/D31</f>
        <v>2294.7647668393784</v>
      </c>
      <c r="J31" s="137">
        <f t="shared" si="1"/>
        <v>5623.2223834196902</v>
      </c>
      <c r="K31" s="137"/>
      <c r="L31" s="152">
        <f>(J31*0.68)/1000/0.9375</f>
        <v>4.0787106354404159</v>
      </c>
      <c r="M31" s="241"/>
      <c r="N31" s="152">
        <f>N27+N28+N29+N30</f>
        <v>40.700000000000003</v>
      </c>
      <c r="O31" s="208"/>
      <c r="P31" s="220"/>
    </row>
    <row r="32" spans="1:18" ht="17.45" customHeight="1" thickBot="1" x14ac:dyDescent="0.3">
      <c r="A32" s="209" t="s">
        <v>75</v>
      </c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34"/>
      <c r="O32" s="210"/>
      <c r="P32" s="211"/>
      <c r="R32" s="114"/>
    </row>
    <row r="33" spans="1:16" ht="16.5" thickBot="1" x14ac:dyDescent="0.3">
      <c r="A33" s="209" t="s">
        <v>76</v>
      </c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1"/>
    </row>
    <row r="34" spans="1:16" x14ac:dyDescent="0.25">
      <c r="N34" s="176">
        <f>N31+N25+N20+N15+N12</f>
        <v>152.84</v>
      </c>
    </row>
    <row r="35" spans="1:16" x14ac:dyDescent="0.25">
      <c r="D35">
        <f>D11+D15+D20+D25+D31</f>
        <v>163.89</v>
      </c>
    </row>
    <row r="36" spans="1:16" x14ac:dyDescent="0.25">
      <c r="D36">
        <f>D35-D26</f>
        <v>152.83999999999997</v>
      </c>
    </row>
  </sheetData>
  <mergeCells count="31">
    <mergeCell ref="A32:P32"/>
    <mergeCell ref="A33:P33"/>
    <mergeCell ref="M9:M12"/>
    <mergeCell ref="M13:M15"/>
    <mergeCell ref="M16:M20"/>
    <mergeCell ref="M21:M25"/>
    <mergeCell ref="P21:P25"/>
    <mergeCell ref="A26:A31"/>
    <mergeCell ref="B26:B31"/>
    <mergeCell ref="O26:O31"/>
    <mergeCell ref="P26:P31"/>
    <mergeCell ref="M26:M31"/>
    <mergeCell ref="A21:A25"/>
    <mergeCell ref="B21:B25"/>
    <mergeCell ref="O21:O25"/>
    <mergeCell ref="A13:A14"/>
    <mergeCell ref="B13:B14"/>
    <mergeCell ref="O13:O15"/>
    <mergeCell ref="P13:P20"/>
    <mergeCell ref="A16:A20"/>
    <mergeCell ref="B16:B20"/>
    <mergeCell ref="O16:O20"/>
    <mergeCell ref="A9:A12"/>
    <mergeCell ref="B9:B12"/>
    <mergeCell ref="O9:O12"/>
    <mergeCell ref="P9:P12"/>
    <mergeCell ref="A1:P1"/>
    <mergeCell ref="A2:D2"/>
    <mergeCell ref="E2:O2"/>
    <mergeCell ref="P5:P8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F204-DE9A-4615-9F2A-C97C3172D64C}">
  <sheetPr>
    <pageSetUpPr fitToPage="1"/>
  </sheetPr>
  <dimension ref="A1:T25"/>
  <sheetViews>
    <sheetView view="pageBreakPreview" zoomScale="85" zoomScaleNormal="100" zoomScaleSheetLayoutView="85" workbookViewId="0">
      <selection activeCell="T9" sqref="T9:T14"/>
    </sheetView>
  </sheetViews>
  <sheetFormatPr defaultRowHeight="15" x14ac:dyDescent="0.25"/>
  <cols>
    <col min="1" max="1" width="15.85546875" customWidth="1"/>
    <col min="2" max="2" width="15.28515625" customWidth="1"/>
    <col min="3" max="3" width="11.7109375" customWidth="1"/>
    <col min="4" max="5" width="15.85546875" customWidth="1"/>
    <col min="6" max="6" width="13.42578125" customWidth="1"/>
    <col min="7" max="7" width="16" customWidth="1"/>
    <col min="8" max="8" width="12.28515625" customWidth="1"/>
    <col min="9" max="9" width="11.28515625" customWidth="1"/>
    <col min="10" max="10" width="19" hidden="1" customWidth="1"/>
    <col min="11" max="11" width="11.28515625" customWidth="1"/>
    <col min="12" max="12" width="12.85546875" hidden="1" customWidth="1"/>
    <col min="13" max="13" width="15.5703125" hidden="1" customWidth="1"/>
    <col min="14" max="14" width="19.140625" customWidth="1"/>
    <col min="15" max="15" width="0" hidden="1" customWidth="1"/>
    <col min="16" max="16" width="11.85546875" customWidth="1"/>
    <col min="17" max="17" width="37.140625" customWidth="1"/>
  </cols>
  <sheetData>
    <row r="1" spans="1:20" ht="24.75" thickBot="1" x14ac:dyDescent="0.3">
      <c r="A1" s="242" t="s">
        <v>35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4"/>
    </row>
    <row r="2" spans="1:20" ht="42" customHeight="1" thickBot="1" x14ac:dyDescent="0.3">
      <c r="A2" s="245" t="s">
        <v>0</v>
      </c>
      <c r="B2" s="245"/>
      <c r="C2" s="245"/>
      <c r="D2" s="245"/>
      <c r="E2" s="246" t="s">
        <v>24</v>
      </c>
      <c r="F2" s="247"/>
      <c r="G2" s="247"/>
      <c r="H2" s="247"/>
      <c r="I2" s="247"/>
      <c r="J2" s="247"/>
      <c r="K2" s="248" t="s">
        <v>25</v>
      </c>
      <c r="L2" s="249"/>
      <c r="M2" s="249"/>
      <c r="N2" s="249"/>
      <c r="O2" s="249"/>
      <c r="P2" s="253" t="s">
        <v>37</v>
      </c>
      <c r="Q2" s="100"/>
    </row>
    <row r="3" spans="1:20" ht="72" thickBo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26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28</v>
      </c>
      <c r="K3" s="98" t="s">
        <v>27</v>
      </c>
      <c r="L3" s="98" t="s">
        <v>5</v>
      </c>
      <c r="M3" s="98" t="s">
        <v>6</v>
      </c>
      <c r="N3" s="98" t="s">
        <v>7</v>
      </c>
      <c r="O3" s="99" t="s">
        <v>8</v>
      </c>
      <c r="P3" s="254"/>
      <c r="Q3" s="101" t="s">
        <v>28</v>
      </c>
    </row>
    <row r="4" spans="1:20" ht="63" x14ac:dyDescent="0.25">
      <c r="A4" s="3" t="s">
        <v>9</v>
      </c>
      <c r="B4" s="31" t="s">
        <v>10</v>
      </c>
      <c r="C4" s="9" t="s">
        <v>11</v>
      </c>
      <c r="D4" s="37">
        <v>118.64</v>
      </c>
      <c r="E4" s="45">
        <f>D4*0.25</f>
        <v>29.66</v>
      </c>
      <c r="F4" s="37">
        <v>2823</v>
      </c>
      <c r="G4" s="37">
        <v>124</v>
      </c>
      <c r="H4" s="39">
        <f>F4+G4</f>
        <v>2947</v>
      </c>
      <c r="I4" s="4">
        <f>(H4*0.783)/1000/0.92</f>
        <v>2.5081532608695656</v>
      </c>
      <c r="J4" s="4"/>
      <c r="K4" s="35">
        <f>E4+2</f>
        <v>31.66</v>
      </c>
      <c r="L4" s="37">
        <v>2823</v>
      </c>
      <c r="M4" s="39">
        <f>G4</f>
        <v>124</v>
      </c>
      <c r="N4" s="37">
        <f>L4+M4</f>
        <v>2947</v>
      </c>
      <c r="O4" s="5">
        <f>(N4*0.783)/1000/0.92</f>
        <v>2.5081532608695656</v>
      </c>
      <c r="P4" s="54"/>
      <c r="Q4" s="65" t="s">
        <v>30</v>
      </c>
    </row>
    <row r="5" spans="1:20" ht="18.75" x14ac:dyDescent="0.25">
      <c r="A5" s="6" t="s">
        <v>12</v>
      </c>
      <c r="B5" s="32" t="s">
        <v>10</v>
      </c>
      <c r="C5" s="33" t="s">
        <v>11</v>
      </c>
      <c r="D5" s="40">
        <v>42.26</v>
      </c>
      <c r="E5" s="45">
        <f t="shared" ref="E5:E15" si="0">D5*0.25</f>
        <v>10.565</v>
      </c>
      <c r="F5" s="40">
        <v>2823</v>
      </c>
      <c r="G5" s="41">
        <f>216*1.05</f>
        <v>226.8</v>
      </c>
      <c r="H5" s="41">
        <f t="shared" ref="H5:H12" si="1">F5+G5</f>
        <v>3049.8</v>
      </c>
      <c r="I5" s="14">
        <f>(H5*0.849)/1000/0.92</f>
        <v>2.814435</v>
      </c>
      <c r="J5" s="7"/>
      <c r="K5" s="35">
        <f>E5+1</f>
        <v>11.565</v>
      </c>
      <c r="L5" s="40">
        <v>2823</v>
      </c>
      <c r="M5" s="41">
        <f>G5</f>
        <v>226.8</v>
      </c>
      <c r="N5" s="41">
        <f t="shared" ref="N5" si="2">L5+M5</f>
        <v>3049.8</v>
      </c>
      <c r="O5" s="8">
        <f>(N5*0.849)/1000/0.92</f>
        <v>2.814435</v>
      </c>
      <c r="P5" s="52"/>
      <c r="Q5" s="250" t="s">
        <v>29</v>
      </c>
    </row>
    <row r="6" spans="1:20" ht="18.75" x14ac:dyDescent="0.25">
      <c r="A6" s="192" t="s">
        <v>13</v>
      </c>
      <c r="B6" s="9" t="s">
        <v>14</v>
      </c>
      <c r="C6" s="9" t="s">
        <v>11</v>
      </c>
      <c r="D6" s="37">
        <v>22.7</v>
      </c>
      <c r="E6" s="38">
        <f t="shared" si="0"/>
        <v>5.6749999999999998</v>
      </c>
      <c r="F6" s="37">
        <v>3368</v>
      </c>
      <c r="G6" s="37">
        <v>227</v>
      </c>
      <c r="H6" s="39">
        <f>G6+F6</f>
        <v>3595</v>
      </c>
      <c r="I6" s="4">
        <f>(H6*0.665)/1000/0.9375</f>
        <v>2.5500533333333335</v>
      </c>
      <c r="J6" s="4"/>
      <c r="K6" s="4">
        <f>E6</f>
        <v>5.6749999999999998</v>
      </c>
      <c r="L6" s="37">
        <v>3368</v>
      </c>
      <c r="M6" s="39">
        <f>G6</f>
        <v>227</v>
      </c>
      <c r="N6" s="37">
        <f>M6+L6</f>
        <v>3595</v>
      </c>
      <c r="O6" s="5">
        <f>(N6*0.665)/1000/0.9375</f>
        <v>2.5500533333333335</v>
      </c>
      <c r="P6" s="53"/>
      <c r="Q6" s="251"/>
    </row>
    <row r="7" spans="1:20" ht="18.75" x14ac:dyDescent="0.25">
      <c r="A7" s="193"/>
      <c r="B7" s="9" t="s">
        <v>14</v>
      </c>
      <c r="C7" s="9" t="s">
        <v>15</v>
      </c>
      <c r="D7" s="37">
        <v>20.05</v>
      </c>
      <c r="E7" s="38">
        <f t="shared" si="0"/>
        <v>5.0125000000000002</v>
      </c>
      <c r="F7" s="37">
        <v>4861</v>
      </c>
      <c r="G7" s="37">
        <v>1180</v>
      </c>
      <c r="H7" s="39">
        <f>F7+G7</f>
        <v>6041</v>
      </c>
      <c r="I7" s="4">
        <f>(H7*0.665)/1000/0.9375</f>
        <v>4.2850826666666668</v>
      </c>
      <c r="J7" s="4"/>
      <c r="K7" s="4">
        <f>E7</f>
        <v>5.0125000000000002</v>
      </c>
      <c r="L7" s="37">
        <v>4861</v>
      </c>
      <c r="M7" s="39">
        <f>G7</f>
        <v>1180</v>
      </c>
      <c r="N7" s="37">
        <f>L7+M7</f>
        <v>6041</v>
      </c>
      <c r="O7" s="5">
        <f>(N7*0.665)/1000/0.9375</f>
        <v>4.2850826666666668</v>
      </c>
      <c r="P7" s="53"/>
      <c r="Q7" s="251"/>
    </row>
    <row r="8" spans="1:20" ht="18.75" x14ac:dyDescent="0.25">
      <c r="A8" s="194"/>
      <c r="B8" s="9"/>
      <c r="C8" s="9"/>
      <c r="D8" s="37">
        <f>SUM(D6:D7)</f>
        <v>42.75</v>
      </c>
      <c r="E8" s="38">
        <f t="shared" si="0"/>
        <v>10.6875</v>
      </c>
      <c r="F8" s="39">
        <f>(F6*D6+F7*D7)/D8</f>
        <v>4068.2257309941519</v>
      </c>
      <c r="G8" s="39">
        <f>(G6*D6+G7*D7)/D8</f>
        <v>673.96257309941529</v>
      </c>
      <c r="H8" s="51">
        <f>G8+F8</f>
        <v>4742.1883040935672</v>
      </c>
      <c r="I8" s="64">
        <f>(H8*0.68)/1000/0.9375</f>
        <v>3.4396672499025343</v>
      </c>
      <c r="J8" s="4"/>
      <c r="K8" s="35">
        <f>K5+K6+K7</f>
        <v>22.252499999999998</v>
      </c>
      <c r="L8" s="39">
        <f>(K5*L5+K6*L6+K7*L7)/K8</f>
        <v>3421.0608920346031</v>
      </c>
      <c r="M8" s="39">
        <f>(K5*M5+K6*M6+K7*L7)/K8</f>
        <v>1270.7304572519943</v>
      </c>
      <c r="N8" s="42">
        <f t="shared" ref="N8:N9" si="3">L8+M8</f>
        <v>4691.7913492865973</v>
      </c>
      <c r="O8" s="5">
        <f>(O5*K5+O6*K6+O7*K7)/K8</f>
        <v>3.0782820046436732</v>
      </c>
      <c r="P8" s="64">
        <f>(H8-N8)*K8/100</f>
        <v>11.214582368420979</v>
      </c>
      <c r="Q8" s="252"/>
    </row>
    <row r="9" spans="1:20" ht="31.5" x14ac:dyDescent="0.25">
      <c r="A9" s="10" t="s">
        <v>16</v>
      </c>
      <c r="B9" s="33" t="s">
        <v>14</v>
      </c>
      <c r="C9" s="33" t="s">
        <v>17</v>
      </c>
      <c r="D9" s="40">
        <v>24.66</v>
      </c>
      <c r="E9" s="38">
        <f t="shared" si="0"/>
        <v>6.165</v>
      </c>
      <c r="F9" s="40">
        <v>2700</v>
      </c>
      <c r="G9" s="40">
        <v>1613</v>
      </c>
      <c r="H9" s="41">
        <f t="shared" ref="H9" si="4">F9+G9</f>
        <v>4313</v>
      </c>
      <c r="I9" s="7">
        <f>(H9*0.681)/1000/0.9375</f>
        <v>3.1329632000000003</v>
      </c>
      <c r="J9" s="7"/>
      <c r="K9" s="7">
        <f>E9</f>
        <v>6.165</v>
      </c>
      <c r="L9" s="40">
        <v>2700</v>
      </c>
      <c r="M9" s="41">
        <f>G9</f>
        <v>1613</v>
      </c>
      <c r="N9" s="40">
        <f t="shared" si="3"/>
        <v>4313</v>
      </c>
      <c r="O9" s="8">
        <f>(N9*0.681)/1000/0.9375</f>
        <v>3.1329632000000003</v>
      </c>
      <c r="P9" s="55"/>
      <c r="Q9" s="66" t="s">
        <v>33</v>
      </c>
      <c r="R9" t="s">
        <v>11</v>
      </c>
      <c r="S9">
        <f>D4+32.47+D6+36.18</f>
        <v>209.99</v>
      </c>
      <c r="T9">
        <f>S9/12</f>
        <v>17.499166666666667</v>
      </c>
    </row>
    <row r="10" spans="1:20" ht="18.75" x14ac:dyDescent="0.25">
      <c r="A10" s="195" t="s">
        <v>18</v>
      </c>
      <c r="B10" s="197" t="s">
        <v>10</v>
      </c>
      <c r="C10" s="34" t="s">
        <v>15</v>
      </c>
      <c r="D10" s="43">
        <v>2.82</v>
      </c>
      <c r="E10" s="38">
        <f t="shared" si="0"/>
        <v>0.70499999999999996</v>
      </c>
      <c r="F10" s="43">
        <v>4497</v>
      </c>
      <c r="G10" s="43">
        <v>2194</v>
      </c>
      <c r="H10" s="44">
        <f>F10+G10</f>
        <v>6691</v>
      </c>
      <c r="I10" s="11">
        <f>(H10*0.743)/1000/0.9375</f>
        <v>5.3028405333333328</v>
      </c>
      <c r="J10" s="11"/>
      <c r="K10" s="11">
        <f>E10</f>
        <v>0.70499999999999996</v>
      </c>
      <c r="L10" s="43">
        <v>4497</v>
      </c>
      <c r="M10" s="44">
        <f>G10</f>
        <v>2194</v>
      </c>
      <c r="N10" s="43">
        <f>L10+M10</f>
        <v>6691</v>
      </c>
      <c r="O10" s="12">
        <f t="shared" ref="O10" si="5">(N10*0.65)/1000/0.9375</f>
        <v>4.6390933333333342</v>
      </c>
      <c r="P10" s="56"/>
      <c r="Q10" s="250" t="s">
        <v>36</v>
      </c>
      <c r="R10" t="s">
        <v>15</v>
      </c>
      <c r="S10">
        <f>D7+D10+D20</f>
        <v>32.9</v>
      </c>
      <c r="T10">
        <f t="shared" ref="T10:T14" si="6">S10/12</f>
        <v>2.7416666666666667</v>
      </c>
    </row>
    <row r="11" spans="1:20" ht="18.75" x14ac:dyDescent="0.25">
      <c r="A11" s="196"/>
      <c r="B11" s="198"/>
      <c r="C11" s="34" t="s">
        <v>17</v>
      </c>
      <c r="D11" s="43">
        <v>21.69</v>
      </c>
      <c r="E11" s="45">
        <f t="shared" si="0"/>
        <v>5.4225000000000003</v>
      </c>
      <c r="F11" s="43">
        <v>2349</v>
      </c>
      <c r="G11" s="43">
        <v>2164</v>
      </c>
      <c r="H11" s="44">
        <f t="shared" si="1"/>
        <v>4513</v>
      </c>
      <c r="I11" s="11">
        <f>(H11*0.743)/1000/0.9375</f>
        <v>3.5767029333333338</v>
      </c>
      <c r="J11" s="11"/>
      <c r="K11" s="35">
        <f>E11-0.5</f>
        <v>4.9225000000000003</v>
      </c>
      <c r="L11" s="43">
        <v>2349</v>
      </c>
      <c r="M11" s="44">
        <f>G11</f>
        <v>2164</v>
      </c>
      <c r="N11" s="43">
        <f t="shared" ref="N11:N12" si="7">L11+M11</f>
        <v>4513</v>
      </c>
      <c r="O11" s="12">
        <f>(N11*0.68)/1000/0.9375</f>
        <v>3.2734293333333335</v>
      </c>
      <c r="P11" s="57"/>
      <c r="Q11" s="251"/>
      <c r="R11" t="s">
        <v>17</v>
      </c>
      <c r="S11">
        <f>D9+D11+D13+D17</f>
        <v>66.760000000000005</v>
      </c>
      <c r="T11">
        <f t="shared" si="6"/>
        <v>5.5633333333333335</v>
      </c>
    </row>
    <row r="12" spans="1:20" ht="18.75" x14ac:dyDescent="0.25">
      <c r="A12" s="13"/>
      <c r="B12" s="34"/>
      <c r="C12" s="34"/>
      <c r="D12" s="43">
        <f>SUM(D10:D11)</f>
        <v>24.51</v>
      </c>
      <c r="E12" s="45">
        <f t="shared" si="0"/>
        <v>6.1275000000000004</v>
      </c>
      <c r="F12" s="44">
        <f>(F10*D10+F11*D11)/D12</f>
        <v>2596.1383108935129</v>
      </c>
      <c r="G12" s="44">
        <f>(G10*D10+G11*D11)/D12</f>
        <v>2167.451652386781</v>
      </c>
      <c r="H12" s="44">
        <f t="shared" si="1"/>
        <v>4763.5899632802939</v>
      </c>
      <c r="I12" s="97">
        <f>(H12*0.743)/1000/0.9375</f>
        <v>3.7753038322317423</v>
      </c>
      <c r="J12" s="11"/>
      <c r="K12" s="35">
        <f>K10+K11</f>
        <v>5.6275000000000004</v>
      </c>
      <c r="L12" s="44">
        <f>(L10*K10+K11*L11)/K12</f>
        <v>2618.0964015992895</v>
      </c>
      <c r="M12" s="44">
        <f>(M10*D10+M11*D11)/D12</f>
        <v>2167.451652386781</v>
      </c>
      <c r="N12" s="44">
        <f t="shared" si="7"/>
        <v>4785.548053986071</v>
      </c>
      <c r="O12" s="12">
        <f>(N12*0.68)/1000/0.9375</f>
        <v>3.4711175218245631</v>
      </c>
      <c r="P12" s="57"/>
      <c r="Q12" s="251"/>
      <c r="R12" t="s">
        <v>23</v>
      </c>
      <c r="S12">
        <f>D21+D14</f>
        <v>40.760000000000005</v>
      </c>
      <c r="T12">
        <f t="shared" si="6"/>
        <v>3.3966666666666669</v>
      </c>
    </row>
    <row r="13" spans="1:20" ht="18.75" x14ac:dyDescent="0.25">
      <c r="A13" s="200" t="s">
        <v>38</v>
      </c>
      <c r="B13" s="203" t="s">
        <v>21</v>
      </c>
      <c r="C13" s="33" t="s">
        <v>17</v>
      </c>
      <c r="D13" s="40">
        <v>12.33</v>
      </c>
      <c r="E13" s="38">
        <f t="shared" si="0"/>
        <v>3.0825</v>
      </c>
      <c r="F13" s="40">
        <v>2464</v>
      </c>
      <c r="G13" s="40">
        <v>2164</v>
      </c>
      <c r="H13" s="41">
        <f t="shared" ref="H13:H14" si="8">F13+G13</f>
        <v>4628</v>
      </c>
      <c r="I13" s="7">
        <f>(H13*0.68)/1000/0.9375</f>
        <v>3.3568426666666671</v>
      </c>
      <c r="J13" s="7"/>
      <c r="K13" s="7">
        <f>E13</f>
        <v>3.0825</v>
      </c>
      <c r="L13" s="40">
        <v>2464</v>
      </c>
      <c r="M13" s="41">
        <f t="shared" ref="M13:M22" si="9">G13</f>
        <v>2164</v>
      </c>
      <c r="N13" s="40">
        <f t="shared" ref="N13:N14" si="10">L13+M13</f>
        <v>4628</v>
      </c>
      <c r="O13" s="16">
        <f>(N13*0.68)/1000/0.9375</f>
        <v>3.3568426666666671</v>
      </c>
      <c r="P13" s="58"/>
      <c r="Q13" s="251"/>
      <c r="R13" t="s">
        <v>22</v>
      </c>
      <c r="S13">
        <f>D19</f>
        <v>11.05</v>
      </c>
      <c r="T13">
        <f t="shared" si="6"/>
        <v>0.92083333333333339</v>
      </c>
    </row>
    <row r="14" spans="1:20" ht="18.75" x14ac:dyDescent="0.25">
      <c r="A14" s="201"/>
      <c r="B14" s="204"/>
      <c r="C14" s="48" t="s">
        <v>23</v>
      </c>
      <c r="D14" s="46">
        <v>13.59</v>
      </c>
      <c r="E14" s="38">
        <f t="shared" si="0"/>
        <v>3.3975</v>
      </c>
      <c r="F14" s="46">
        <f>2350+650</f>
        <v>3000</v>
      </c>
      <c r="G14" s="46">
        <v>2325</v>
      </c>
      <c r="H14" s="47">
        <f t="shared" si="8"/>
        <v>5325</v>
      </c>
      <c r="I14" s="7">
        <f>(H14*0.68)/1000/0.9375</f>
        <v>3.8624000000000005</v>
      </c>
      <c r="J14" s="7"/>
      <c r="K14" s="7">
        <f>E14</f>
        <v>3.3975</v>
      </c>
      <c r="L14" s="46">
        <v>2350</v>
      </c>
      <c r="M14" s="41">
        <f t="shared" si="9"/>
        <v>2325</v>
      </c>
      <c r="N14" s="46">
        <f t="shared" si="10"/>
        <v>4675</v>
      </c>
      <c r="O14" s="16">
        <f>(N14*0.68)/1000/0.9375</f>
        <v>3.3909333333333338</v>
      </c>
      <c r="P14" s="58"/>
      <c r="Q14" s="251"/>
      <c r="S14">
        <f>S9+S10+S11+S12+S13</f>
        <v>361.46000000000004</v>
      </c>
      <c r="T14">
        <f t="shared" si="6"/>
        <v>30.12166666666667</v>
      </c>
    </row>
    <row r="15" spans="1:20" ht="18.75" x14ac:dyDescent="0.25">
      <c r="A15" s="202"/>
      <c r="B15" s="205"/>
      <c r="C15" s="48"/>
      <c r="D15" s="46">
        <f>SUM(D13:D14)</f>
        <v>25.92</v>
      </c>
      <c r="E15" s="38">
        <f t="shared" si="0"/>
        <v>6.48</v>
      </c>
      <c r="F15" s="47">
        <f>(D13*F13+F14*D14)/D15</f>
        <v>2745.0277777777774</v>
      </c>
      <c r="G15" s="47">
        <f>(G13*D13+G14*D14)/D15</f>
        <v>2248.4131944444443</v>
      </c>
      <c r="H15" s="47">
        <f t="shared" ref="H15:H22" si="11">F15+G15</f>
        <v>4993.4409722222217</v>
      </c>
      <c r="I15" s="14">
        <f>(H15*0.68)/1000/0.9375</f>
        <v>3.6219091851851846</v>
      </c>
      <c r="J15" s="7"/>
      <c r="K15" s="7">
        <f>E15</f>
        <v>6.48</v>
      </c>
      <c r="L15" s="47">
        <f>F15</f>
        <v>2745.0277777777774</v>
      </c>
      <c r="M15" s="41">
        <f t="shared" si="9"/>
        <v>2248.4131944444443</v>
      </c>
      <c r="N15" s="47">
        <f>L15+M15</f>
        <v>4993.4409722222217</v>
      </c>
      <c r="O15" s="16">
        <f>(N15*0.68)/1000/0.9375</f>
        <v>3.6219091851851846</v>
      </c>
      <c r="P15" s="59"/>
      <c r="Q15" s="255"/>
    </row>
    <row r="16" spans="1:20" ht="18.75" x14ac:dyDescent="0.25">
      <c r="A16" s="200" t="s">
        <v>19</v>
      </c>
      <c r="B16" s="203" t="s">
        <v>10</v>
      </c>
      <c r="C16" s="33" t="s">
        <v>11</v>
      </c>
      <c r="D16" s="40">
        <v>42.19</v>
      </c>
      <c r="E16" s="38">
        <f t="shared" ref="E16:E22" si="12">D16*0.25</f>
        <v>10.547499999999999</v>
      </c>
      <c r="F16" s="40">
        <v>2900</v>
      </c>
      <c r="G16" s="40">
        <v>1613</v>
      </c>
      <c r="H16" s="41">
        <f t="shared" si="11"/>
        <v>4513</v>
      </c>
      <c r="I16" s="7">
        <f>(H16*0.76)/1000/0.92</f>
        <v>3.7281304347826087</v>
      </c>
      <c r="J16" s="7"/>
      <c r="K16" s="7">
        <f>E16-3</f>
        <v>7.5474999999999994</v>
      </c>
      <c r="L16" s="40">
        <v>2900</v>
      </c>
      <c r="M16" s="41">
        <f t="shared" si="9"/>
        <v>1613</v>
      </c>
      <c r="N16" s="40">
        <f>L16+M16</f>
        <v>4513</v>
      </c>
      <c r="O16" s="8">
        <f>(N16*0.76)/1000/0.92</f>
        <v>3.7281304347826087</v>
      </c>
      <c r="P16" s="52"/>
      <c r="Q16" s="250" t="s">
        <v>31</v>
      </c>
    </row>
    <row r="17" spans="1:17" ht="18.75" x14ac:dyDescent="0.25">
      <c r="A17" s="201"/>
      <c r="B17" s="204"/>
      <c r="C17" s="33" t="s">
        <v>17</v>
      </c>
      <c r="D17" s="40">
        <v>8.08</v>
      </c>
      <c r="E17" s="45">
        <f t="shared" si="12"/>
        <v>2.02</v>
      </c>
      <c r="F17" s="40">
        <v>2349</v>
      </c>
      <c r="G17" s="40">
        <v>1959</v>
      </c>
      <c r="H17" s="41">
        <f t="shared" si="11"/>
        <v>4308</v>
      </c>
      <c r="I17" s="7">
        <f>(H17*0.76)/1000/0.92</f>
        <v>3.558782608695652</v>
      </c>
      <c r="J17" s="7"/>
      <c r="K17" s="35">
        <f>E17+0.5</f>
        <v>2.52</v>
      </c>
      <c r="L17" s="40">
        <v>2349</v>
      </c>
      <c r="M17" s="41">
        <f t="shared" si="9"/>
        <v>1959</v>
      </c>
      <c r="N17" s="40">
        <f>L17+M17</f>
        <v>4308</v>
      </c>
      <c r="O17" s="8">
        <f>(N17*0.76)/1000/0.92</f>
        <v>3.558782608695652</v>
      </c>
      <c r="P17" s="60"/>
      <c r="Q17" s="251"/>
    </row>
    <row r="18" spans="1:17" ht="18.75" x14ac:dyDescent="0.25">
      <c r="A18" s="202"/>
      <c r="B18" s="205"/>
      <c r="C18" s="33"/>
      <c r="D18" s="40">
        <f>SUM(D16:D17)</f>
        <v>50.269999999999996</v>
      </c>
      <c r="E18" s="45">
        <f t="shared" si="12"/>
        <v>12.567499999999999</v>
      </c>
      <c r="F18" s="41">
        <f>(F16*D16+F17*D17)/D18</f>
        <v>2811.4366421324848</v>
      </c>
      <c r="G18" s="41">
        <f>(G16*D16+G17*D17)/D18</f>
        <v>1668.6132882434854</v>
      </c>
      <c r="H18" s="49">
        <f t="shared" si="11"/>
        <v>4480.0499303759698</v>
      </c>
      <c r="I18" s="14">
        <f>(H18*0.72)/1000/0.9375</f>
        <v>3.4406783465287445</v>
      </c>
      <c r="J18" s="14"/>
      <c r="K18" s="36">
        <f>K16+K17</f>
        <v>10.067499999999999</v>
      </c>
      <c r="L18" s="41">
        <f>(K16*L16+K17*L17)/K18</f>
        <v>2762.0789669729329</v>
      </c>
      <c r="M18" s="41">
        <f t="shared" si="9"/>
        <v>1668.6132882434854</v>
      </c>
      <c r="N18" s="50">
        <f>L18+M18</f>
        <v>4430.6922552164178</v>
      </c>
      <c r="O18" s="15">
        <f>(N18*0.72)/1000/0.9375</f>
        <v>3.402771652006209</v>
      </c>
      <c r="P18" s="14">
        <f>(H18-N18)*K18/100</f>
        <v>4.969083946687892</v>
      </c>
      <c r="Q18" s="252"/>
    </row>
    <row r="19" spans="1:17" ht="18.75" x14ac:dyDescent="0.25">
      <c r="A19" s="192" t="s">
        <v>20</v>
      </c>
      <c r="B19" s="259" t="s">
        <v>21</v>
      </c>
      <c r="C19" s="9" t="s">
        <v>22</v>
      </c>
      <c r="D19" s="37">
        <v>11.05</v>
      </c>
      <c r="E19" s="38">
        <f t="shared" si="12"/>
        <v>2.7625000000000002</v>
      </c>
      <c r="F19" s="37">
        <v>2745</v>
      </c>
      <c r="G19" s="37">
        <v>2342</v>
      </c>
      <c r="H19" s="39">
        <f t="shared" si="11"/>
        <v>5087</v>
      </c>
      <c r="I19" s="4">
        <f>(H19*0.68)/1000/0.9375</f>
        <v>3.689770666666667</v>
      </c>
      <c r="J19" s="4"/>
      <c r="K19" s="4">
        <f>E19</f>
        <v>2.7625000000000002</v>
      </c>
      <c r="L19" s="37">
        <v>2745</v>
      </c>
      <c r="M19" s="39">
        <f t="shared" si="9"/>
        <v>2342</v>
      </c>
      <c r="N19" s="37">
        <f t="shared" ref="N19:N21" si="13">L19+M19</f>
        <v>5087</v>
      </c>
      <c r="O19" s="5">
        <f>(N19*0.68)/1000/0.9375</f>
        <v>3.689770666666667</v>
      </c>
      <c r="P19" s="61"/>
      <c r="Q19" s="250" t="s">
        <v>32</v>
      </c>
    </row>
    <row r="20" spans="1:17" ht="18.75" x14ac:dyDescent="0.25">
      <c r="A20" s="193"/>
      <c r="B20" s="260"/>
      <c r="C20" s="9" t="s">
        <v>15</v>
      </c>
      <c r="D20" s="37">
        <v>10.029999999999999</v>
      </c>
      <c r="E20" s="38">
        <f t="shared" si="12"/>
        <v>2.5074999999999998</v>
      </c>
      <c r="F20" s="37">
        <v>4861</v>
      </c>
      <c r="G20" s="37">
        <v>2215</v>
      </c>
      <c r="H20" s="39">
        <f t="shared" si="11"/>
        <v>7076</v>
      </c>
      <c r="I20" s="4">
        <f>(H20*0.65)/1000/0.9375</f>
        <v>4.9060266666666665</v>
      </c>
      <c r="J20" s="4"/>
      <c r="K20" s="4">
        <f>E20</f>
        <v>2.5074999999999998</v>
      </c>
      <c r="L20" s="37">
        <v>4861</v>
      </c>
      <c r="M20" s="39">
        <f t="shared" si="9"/>
        <v>2215</v>
      </c>
      <c r="N20" s="37">
        <f t="shared" si="13"/>
        <v>7076</v>
      </c>
      <c r="O20" s="5">
        <f t="shared" ref="O20:O21" si="14">(N20*0.65)/1000/0.9375</f>
        <v>4.9060266666666665</v>
      </c>
      <c r="P20" s="53"/>
      <c r="Q20" s="251"/>
    </row>
    <row r="21" spans="1:17" ht="18.75" x14ac:dyDescent="0.25">
      <c r="A21" s="193"/>
      <c r="B21" s="260"/>
      <c r="C21" s="9" t="s">
        <v>23</v>
      </c>
      <c r="D21" s="37">
        <v>27.17</v>
      </c>
      <c r="E21" s="38">
        <f t="shared" si="12"/>
        <v>6.7925000000000004</v>
      </c>
      <c r="F21" s="37">
        <f>2350+650</f>
        <v>3000</v>
      </c>
      <c r="G21" s="37">
        <v>2305</v>
      </c>
      <c r="H21" s="39">
        <f t="shared" si="11"/>
        <v>5305</v>
      </c>
      <c r="I21" s="4">
        <f>(H21*0.65)/1000/0.9375</f>
        <v>3.6781333333333333</v>
      </c>
      <c r="J21" s="4"/>
      <c r="K21" s="4">
        <f>E21</f>
        <v>6.7925000000000004</v>
      </c>
      <c r="L21" s="37">
        <v>2350</v>
      </c>
      <c r="M21" s="39">
        <f t="shared" si="9"/>
        <v>2305</v>
      </c>
      <c r="N21" s="37">
        <f t="shared" si="13"/>
        <v>4655</v>
      </c>
      <c r="O21" s="5">
        <f t="shared" si="14"/>
        <v>3.2274666666666665</v>
      </c>
      <c r="P21" s="53"/>
      <c r="Q21" s="251"/>
    </row>
    <row r="22" spans="1:17" ht="18.75" x14ac:dyDescent="0.25">
      <c r="A22" s="194"/>
      <c r="B22" s="261"/>
      <c r="C22" s="9"/>
      <c r="D22" s="37">
        <f>SUM(D19:D21)</f>
        <v>48.25</v>
      </c>
      <c r="E22" s="38">
        <f t="shared" si="12"/>
        <v>12.0625</v>
      </c>
      <c r="F22" s="39">
        <f>(D19*F19+D20*F20+D21*F21)/D22</f>
        <v>3328.4576165803114</v>
      </c>
      <c r="G22" s="39">
        <f>(D19*G19+D20*G20+D21*G21)/D22</f>
        <v>2294.7647668393784</v>
      </c>
      <c r="H22" s="39">
        <f t="shared" si="11"/>
        <v>5623.2223834196902</v>
      </c>
      <c r="I22" s="64">
        <f>(H22*0.68)/1000/0.9375</f>
        <v>4.0787106354404159</v>
      </c>
      <c r="J22" s="4"/>
      <c r="K22" s="4">
        <f>K19+K20+K21</f>
        <v>12.0625</v>
      </c>
      <c r="L22" s="39">
        <f>(K19*L19+K20*L20+K21*L21)/K22</f>
        <v>2962.4368911917104</v>
      </c>
      <c r="M22" s="39">
        <f t="shared" si="9"/>
        <v>2294.7647668393784</v>
      </c>
      <c r="N22" s="39">
        <f>L22+M22</f>
        <v>5257.2016580310883</v>
      </c>
      <c r="O22" s="5">
        <f>(N22*0.68)/1000/0.9375</f>
        <v>3.8132236026252162</v>
      </c>
      <c r="P22" s="54"/>
      <c r="Q22" s="255"/>
    </row>
    <row r="23" spans="1:17" ht="18.75" x14ac:dyDescent="0.3">
      <c r="A23" s="17"/>
      <c r="B23" s="18"/>
      <c r="C23" s="19"/>
      <c r="D23" s="20"/>
      <c r="E23" s="102">
        <f>E4+E5+E8+E9+E12+E15+E18+E22</f>
        <v>94.314999999999998</v>
      </c>
      <c r="F23" s="20"/>
      <c r="G23" s="20"/>
      <c r="H23" s="20"/>
      <c r="I23" s="21"/>
      <c r="J23" s="21"/>
      <c r="K23" s="21">
        <f>K22+K18+K15+K12+K9+K8+K4</f>
        <v>94.314999999999998</v>
      </c>
      <c r="L23" s="20"/>
      <c r="M23" s="20"/>
      <c r="N23" s="20"/>
      <c r="O23" s="16"/>
      <c r="P23" s="63">
        <f>P8+P18</f>
        <v>16.183666315108873</v>
      </c>
      <c r="Q23" s="22"/>
    </row>
    <row r="24" spans="1:17" ht="21.75" thickBot="1" x14ac:dyDescent="0.4">
      <c r="A24" s="23"/>
      <c r="B24" s="24"/>
      <c r="C24" s="25"/>
      <c r="D24" s="26"/>
      <c r="E24" s="26"/>
      <c r="F24" s="27"/>
      <c r="G24" s="27"/>
      <c r="H24" s="27"/>
      <c r="I24" s="28"/>
      <c r="J24" s="28"/>
      <c r="K24" s="28"/>
      <c r="L24" s="27"/>
      <c r="M24" s="27"/>
      <c r="N24" s="27"/>
      <c r="O24" s="29"/>
      <c r="P24" s="62"/>
      <c r="Q24" s="30"/>
    </row>
    <row r="25" spans="1:17" ht="16.5" thickBot="1" x14ac:dyDescent="0.3">
      <c r="A25" s="256" t="s">
        <v>34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8"/>
    </row>
  </sheetData>
  <mergeCells count="19">
    <mergeCell ref="Q16:Q18"/>
    <mergeCell ref="Q19:Q22"/>
    <mergeCell ref="Q10:Q15"/>
    <mergeCell ref="A25:Q25"/>
    <mergeCell ref="A16:A18"/>
    <mergeCell ref="B16:B18"/>
    <mergeCell ref="A19:A22"/>
    <mergeCell ref="B19:B22"/>
    <mergeCell ref="A13:A15"/>
    <mergeCell ref="B13:B15"/>
    <mergeCell ref="A1:Q1"/>
    <mergeCell ref="A2:D2"/>
    <mergeCell ref="A10:A11"/>
    <mergeCell ref="B10:B11"/>
    <mergeCell ref="E2:J2"/>
    <mergeCell ref="K2:O2"/>
    <mergeCell ref="A6:A8"/>
    <mergeCell ref="Q5:Q8"/>
    <mergeCell ref="P2:P3"/>
  </mergeCells>
  <pageMargins left="0.23622047244094488" right="0.23622047244094488" top="0.39" bottom="0.38" header="0.31496062992125984" footer="0.21"/>
  <pageSetup scale="57" orientation="landscape" r:id="rId1"/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6A52-647D-430A-840C-65A948114982}">
  <sheetPr>
    <pageSetUpPr fitToPage="1"/>
  </sheetPr>
  <dimension ref="A1:R32"/>
  <sheetViews>
    <sheetView view="pageBreakPreview" zoomScaleNormal="100" zoomScaleSheetLayoutView="100" workbookViewId="0">
      <selection activeCell="C16" sqref="C16"/>
    </sheetView>
  </sheetViews>
  <sheetFormatPr defaultRowHeight="15" x14ac:dyDescent="0.25"/>
  <cols>
    <col min="1" max="1" width="15.85546875" customWidth="1"/>
    <col min="2" max="2" width="16.85546875" customWidth="1"/>
    <col min="3" max="3" width="11.7109375" customWidth="1"/>
    <col min="4" max="5" width="15.85546875" hidden="1" customWidth="1"/>
    <col min="6" max="7" width="13.42578125" customWidth="1"/>
    <col min="8" max="8" width="13.42578125" style="113" customWidth="1"/>
    <col min="9" max="9" width="16" customWidth="1"/>
    <col min="10" max="11" width="12.28515625" style="106" customWidth="1"/>
    <col min="12" max="12" width="11" customWidth="1"/>
    <col min="13" max="13" width="19" customWidth="1"/>
    <col min="14" max="14" width="16.42578125" customWidth="1"/>
    <col min="15" max="15" width="19" customWidth="1"/>
    <col min="16" max="16" width="50.140625" customWidth="1"/>
  </cols>
  <sheetData>
    <row r="1" spans="1:16" ht="42" customHeight="1" thickBot="1" x14ac:dyDescent="0.3">
      <c r="A1" s="179" t="s">
        <v>114</v>
      </c>
      <c r="B1" s="180"/>
      <c r="C1" s="180"/>
      <c r="D1" s="180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2"/>
    </row>
    <row r="2" spans="1:16" ht="53.25" customHeight="1" thickBot="1" x14ac:dyDescent="0.3">
      <c r="A2" s="183" t="s">
        <v>0</v>
      </c>
      <c r="B2" s="184"/>
      <c r="C2" s="184"/>
      <c r="D2" s="185"/>
      <c r="E2" s="186" t="s">
        <v>79</v>
      </c>
      <c r="F2" s="187"/>
      <c r="G2" s="187"/>
      <c r="H2" s="187"/>
      <c r="I2" s="187"/>
      <c r="J2" s="187"/>
      <c r="K2" s="187"/>
      <c r="L2" s="187"/>
      <c r="M2" s="188"/>
      <c r="N2" s="262" t="s">
        <v>72</v>
      </c>
      <c r="O2" s="262"/>
      <c r="P2" s="100"/>
    </row>
    <row r="3" spans="1:16" ht="63" x14ac:dyDescent="0.25">
      <c r="A3" s="162" t="s">
        <v>1</v>
      </c>
      <c r="B3" s="163" t="s">
        <v>2</v>
      </c>
      <c r="C3" s="163" t="s">
        <v>3</v>
      </c>
      <c r="D3" s="163" t="s">
        <v>4</v>
      </c>
      <c r="E3" s="163" t="s">
        <v>26</v>
      </c>
      <c r="F3" s="163" t="s">
        <v>5</v>
      </c>
      <c r="G3" s="163" t="s">
        <v>80</v>
      </c>
      <c r="H3" s="163" t="s">
        <v>66</v>
      </c>
      <c r="I3" s="163" t="s">
        <v>6</v>
      </c>
      <c r="J3" s="163" t="s">
        <v>7</v>
      </c>
      <c r="K3" s="163" t="s">
        <v>67</v>
      </c>
      <c r="L3" s="163" t="s">
        <v>8</v>
      </c>
      <c r="M3" s="163" t="s">
        <v>68</v>
      </c>
      <c r="N3" s="164" t="s">
        <v>1</v>
      </c>
      <c r="O3" s="164" t="s">
        <v>70</v>
      </c>
      <c r="P3" s="165" t="s">
        <v>41</v>
      </c>
    </row>
    <row r="4" spans="1:16" ht="84" hidden="1" x14ac:dyDescent="0.35">
      <c r="A4" s="3" t="s">
        <v>9</v>
      </c>
      <c r="B4" s="31" t="s">
        <v>10</v>
      </c>
      <c r="C4" s="9" t="s">
        <v>11</v>
      </c>
      <c r="D4" s="37">
        <v>118.64</v>
      </c>
      <c r="E4" s="45">
        <f>D4*0.25</f>
        <v>29.66</v>
      </c>
      <c r="F4" s="37">
        <v>2823</v>
      </c>
      <c r="G4" s="37"/>
      <c r="H4" s="110">
        <v>20</v>
      </c>
      <c r="I4" s="37">
        <v>124</v>
      </c>
      <c r="J4" s="104">
        <f>F4+I4</f>
        <v>2947</v>
      </c>
      <c r="K4" s="104"/>
      <c r="L4" s="4">
        <f>(J4*0.783)/1000/0.92</f>
        <v>2.5081532608695656</v>
      </c>
      <c r="M4" s="4"/>
      <c r="N4" s="4"/>
      <c r="O4" s="4"/>
      <c r="P4" s="166" t="s">
        <v>30</v>
      </c>
    </row>
    <row r="5" spans="1:16" ht="18.75" hidden="1" x14ac:dyDescent="0.25">
      <c r="A5" s="6" t="s">
        <v>12</v>
      </c>
      <c r="B5" s="32" t="s">
        <v>10</v>
      </c>
      <c r="C5" s="33" t="s">
        <v>11</v>
      </c>
      <c r="D5" s="40">
        <v>42.26</v>
      </c>
      <c r="E5" s="45">
        <f t="shared" ref="E5:E30" si="0">D5*0.25</f>
        <v>10.565</v>
      </c>
      <c r="F5" s="40">
        <v>2823</v>
      </c>
      <c r="G5" s="40"/>
      <c r="H5" s="111">
        <v>80</v>
      </c>
      <c r="I5" s="41">
        <f>216*1.05</f>
        <v>226.8</v>
      </c>
      <c r="J5" s="47">
        <f t="shared" ref="J5:J30" si="1">F5+I5</f>
        <v>3049.8</v>
      </c>
      <c r="K5" s="47"/>
      <c r="L5" s="14">
        <f>(J5*0.849)/1000/0.92</f>
        <v>2.814435</v>
      </c>
      <c r="M5" s="7"/>
      <c r="N5" s="7"/>
      <c r="O5" s="7"/>
      <c r="P5" s="189" t="s">
        <v>29</v>
      </c>
    </row>
    <row r="6" spans="1:16" ht="18.75" hidden="1" x14ac:dyDescent="0.25">
      <c r="A6" s="192" t="s">
        <v>13</v>
      </c>
      <c r="B6" s="9" t="s">
        <v>14</v>
      </c>
      <c r="C6" s="9" t="s">
        <v>11</v>
      </c>
      <c r="D6" s="37">
        <v>22.7</v>
      </c>
      <c r="E6" s="38">
        <f t="shared" si="0"/>
        <v>5.6749999999999998</v>
      </c>
      <c r="F6" s="37">
        <v>3368</v>
      </c>
      <c r="G6" s="37"/>
      <c r="H6" s="110">
        <v>80</v>
      </c>
      <c r="I6" s="37">
        <v>227</v>
      </c>
      <c r="J6" s="104">
        <f>I6+F6</f>
        <v>3595</v>
      </c>
      <c r="K6" s="104"/>
      <c r="L6" s="4">
        <f>(J6*0.665)/1000/0.9375</f>
        <v>2.5500533333333335</v>
      </c>
      <c r="M6" s="4"/>
      <c r="N6" s="4"/>
      <c r="O6" s="4"/>
      <c r="P6" s="190"/>
    </row>
    <row r="7" spans="1:16" ht="18.75" hidden="1" x14ac:dyDescent="0.25">
      <c r="A7" s="193"/>
      <c r="B7" s="9" t="s">
        <v>14</v>
      </c>
      <c r="C7" s="9" t="s">
        <v>15</v>
      </c>
      <c r="D7" s="37">
        <v>20.05</v>
      </c>
      <c r="E7" s="38">
        <f t="shared" si="0"/>
        <v>5.0125000000000002</v>
      </c>
      <c r="F7" s="37">
        <v>4861</v>
      </c>
      <c r="G7" s="37"/>
      <c r="H7" s="110">
        <v>493</v>
      </c>
      <c r="I7" s="37">
        <v>1180</v>
      </c>
      <c r="J7" s="104">
        <f>F7+I7</f>
        <v>6041</v>
      </c>
      <c r="K7" s="104"/>
      <c r="L7" s="4">
        <f>(J7*0.665)/1000/0.9375</f>
        <v>4.2850826666666668</v>
      </c>
      <c r="M7" s="4"/>
      <c r="N7" s="4"/>
      <c r="O7" s="4"/>
      <c r="P7" s="190"/>
    </row>
    <row r="8" spans="1:16" ht="18.75" hidden="1" x14ac:dyDescent="0.25">
      <c r="A8" s="194"/>
      <c r="B8" s="9"/>
      <c r="C8" s="9"/>
      <c r="D8" s="37">
        <f>SUM(D6:D7)</f>
        <v>42.75</v>
      </c>
      <c r="E8" s="38">
        <f t="shared" si="0"/>
        <v>10.6875</v>
      </c>
      <c r="F8" s="39">
        <f>(F6*D6+F7*D7)/D8</f>
        <v>4068.2257309941519</v>
      </c>
      <c r="G8" s="39"/>
      <c r="H8" s="112"/>
      <c r="I8" s="39">
        <f>(I6*D6+I7*D7)/D8</f>
        <v>673.96257309941529</v>
      </c>
      <c r="J8" s="105">
        <f>I8+F8</f>
        <v>4742.1883040935672</v>
      </c>
      <c r="K8" s="105"/>
      <c r="L8" s="64">
        <f>(J8*0.68)/1000/0.9375</f>
        <v>3.4396672499025343</v>
      </c>
      <c r="M8" s="4"/>
      <c r="N8" s="4"/>
      <c r="O8" s="4"/>
      <c r="P8" s="191"/>
    </row>
    <row r="9" spans="1:16" ht="18.75" customHeight="1" x14ac:dyDescent="0.25">
      <c r="A9" s="227" t="s">
        <v>16</v>
      </c>
      <c r="B9" s="215" t="s">
        <v>14</v>
      </c>
      <c r="C9" s="33" t="s">
        <v>110</v>
      </c>
      <c r="D9" s="40"/>
      <c r="E9" s="103"/>
      <c r="F9" s="135">
        <v>3368</v>
      </c>
      <c r="G9" s="135">
        <v>10</v>
      </c>
      <c r="H9" s="136">
        <v>499</v>
      </c>
      <c r="I9" s="135">
        <v>1129</v>
      </c>
      <c r="J9" s="137">
        <f>I9+F9</f>
        <v>4497</v>
      </c>
      <c r="K9" s="137">
        <v>3600</v>
      </c>
      <c r="L9" s="138">
        <f>(J9*0.681)/1000/0.9375</f>
        <v>3.2666208000000001</v>
      </c>
      <c r="M9" s="230">
        <v>3.31</v>
      </c>
      <c r="N9" s="269" t="s">
        <v>71</v>
      </c>
      <c r="O9" s="206">
        <v>3.38</v>
      </c>
      <c r="P9" s="263" t="s">
        <v>69</v>
      </c>
    </row>
    <row r="10" spans="1:16" ht="24" x14ac:dyDescent="0.25">
      <c r="A10" s="228"/>
      <c r="B10" s="216"/>
      <c r="C10" s="107" t="s">
        <v>15</v>
      </c>
      <c r="D10" s="40"/>
      <c r="E10" s="103"/>
      <c r="F10" s="135">
        <v>4861</v>
      </c>
      <c r="G10" s="135">
        <v>10</v>
      </c>
      <c r="H10" s="136">
        <v>796</v>
      </c>
      <c r="I10" s="135">
        <v>1665</v>
      </c>
      <c r="J10" s="139">
        <f>I10+F10</f>
        <v>6526</v>
      </c>
      <c r="K10" s="139">
        <v>4100</v>
      </c>
      <c r="L10" s="138">
        <f>(J10*0.651)/1000/0.9375</f>
        <v>4.5316543999999999</v>
      </c>
      <c r="M10" s="230"/>
      <c r="N10" s="270"/>
      <c r="O10" s="207"/>
      <c r="P10" s="264"/>
    </row>
    <row r="11" spans="1:16" ht="24" x14ac:dyDescent="0.25">
      <c r="A11" s="229"/>
      <c r="B11" s="217"/>
      <c r="C11" s="33" t="s">
        <v>109</v>
      </c>
      <c r="D11" s="40">
        <v>24.66</v>
      </c>
      <c r="E11" s="103">
        <f t="shared" si="0"/>
        <v>6.165</v>
      </c>
      <c r="F11" s="140">
        <v>2700</v>
      </c>
      <c r="G11" s="140">
        <v>10</v>
      </c>
      <c r="H11" s="141">
        <v>785</v>
      </c>
      <c r="I11" s="140">
        <v>1613</v>
      </c>
      <c r="J11" s="137">
        <f t="shared" ref="J11" si="2">F11+I11</f>
        <v>4313</v>
      </c>
      <c r="K11" s="137">
        <v>3400</v>
      </c>
      <c r="L11" s="138">
        <f>(J11*0.681)/1000/0.9375</f>
        <v>3.1329632000000003</v>
      </c>
      <c r="M11" s="230"/>
      <c r="N11" s="270"/>
      <c r="O11" s="208"/>
      <c r="P11" s="265"/>
    </row>
    <row r="12" spans="1:16" ht="18.75" customHeight="1" x14ac:dyDescent="0.25">
      <c r="A12" s="195" t="s">
        <v>18</v>
      </c>
      <c r="B12" s="197" t="s">
        <v>10</v>
      </c>
      <c r="C12" s="108" t="s">
        <v>15</v>
      </c>
      <c r="D12" s="43">
        <v>2.82</v>
      </c>
      <c r="E12" s="38">
        <f t="shared" si="0"/>
        <v>0.70499999999999996</v>
      </c>
      <c r="F12" s="142">
        <v>4497</v>
      </c>
      <c r="G12" s="142">
        <v>0</v>
      </c>
      <c r="H12" s="143">
        <v>1108</v>
      </c>
      <c r="I12" s="142">
        <v>2194</v>
      </c>
      <c r="J12" s="144">
        <f>F12+I12</f>
        <v>6691</v>
      </c>
      <c r="K12" s="144">
        <v>4100</v>
      </c>
      <c r="L12" s="145">
        <f>(J12*0.7)/1000/0.92</f>
        <v>5.0909782608695648</v>
      </c>
      <c r="M12" s="199">
        <v>4.3499999999999996</v>
      </c>
      <c r="N12" s="266" t="s">
        <v>47</v>
      </c>
      <c r="O12" s="235">
        <v>3.98</v>
      </c>
      <c r="P12" s="189" t="s">
        <v>78</v>
      </c>
    </row>
    <row r="13" spans="1:16" ht="24" x14ac:dyDescent="0.25">
      <c r="A13" s="196"/>
      <c r="B13" s="198"/>
      <c r="C13" s="34" t="s">
        <v>17</v>
      </c>
      <c r="D13" s="43">
        <v>21.69</v>
      </c>
      <c r="E13" s="45">
        <f t="shared" si="0"/>
        <v>5.4225000000000003</v>
      </c>
      <c r="F13" s="142">
        <v>2349</v>
      </c>
      <c r="G13" s="142">
        <v>0</v>
      </c>
      <c r="H13" s="143">
        <v>1098</v>
      </c>
      <c r="I13" s="142">
        <v>2164</v>
      </c>
      <c r="J13" s="146">
        <f>F13+I13</f>
        <v>4513</v>
      </c>
      <c r="K13" s="146">
        <v>3400</v>
      </c>
      <c r="L13" s="145">
        <f>(J13*0.743)/1000/0.92</f>
        <v>3.6447380434782608</v>
      </c>
      <c r="M13" s="199"/>
      <c r="N13" s="267"/>
      <c r="O13" s="236"/>
      <c r="P13" s="190"/>
    </row>
    <row r="14" spans="1:16" ht="24" x14ac:dyDescent="0.25">
      <c r="A14" s="13"/>
      <c r="B14" s="34"/>
      <c r="C14" s="34"/>
      <c r="D14" s="43">
        <f>SUM(D12:D13)</f>
        <v>24.51</v>
      </c>
      <c r="E14" s="45">
        <f t="shared" si="0"/>
        <v>6.1275000000000004</v>
      </c>
      <c r="F14" s="147">
        <f>(F12*D12+F13*D13)/D14</f>
        <v>2596.1383108935129</v>
      </c>
      <c r="G14" s="147"/>
      <c r="H14" s="147"/>
      <c r="I14" s="147">
        <f>(I12*D12+I13*D13)/D14</f>
        <v>2167.451652386781</v>
      </c>
      <c r="J14" s="146">
        <f>F14+I14</f>
        <v>4763.5899632802939</v>
      </c>
      <c r="K14" s="146"/>
      <c r="L14" s="148">
        <f>(J14*0.743)/1000/0.92</f>
        <v>3.8471166768665852</v>
      </c>
      <c r="M14" s="199"/>
      <c r="N14" s="268"/>
      <c r="O14" s="237"/>
      <c r="P14" s="190"/>
    </row>
    <row r="15" spans="1:16" ht="18" customHeight="1" x14ac:dyDescent="0.25">
      <c r="A15" s="200" t="s">
        <v>38</v>
      </c>
      <c r="B15" s="203" t="s">
        <v>21</v>
      </c>
      <c r="C15" s="33" t="s">
        <v>109</v>
      </c>
      <c r="D15" s="40">
        <v>12.33</v>
      </c>
      <c r="E15" s="38">
        <f t="shared" si="0"/>
        <v>3.0825</v>
      </c>
      <c r="F15" s="140">
        <v>3000</v>
      </c>
      <c r="G15" s="140">
        <v>40</v>
      </c>
      <c r="H15" s="141">
        <v>1098</v>
      </c>
      <c r="I15" s="140">
        <v>2164</v>
      </c>
      <c r="J15" s="137">
        <f t="shared" si="1"/>
        <v>5164</v>
      </c>
      <c r="K15" s="137">
        <v>3400</v>
      </c>
      <c r="L15" s="138">
        <f>(J15*0.7)/1000/0.9375</f>
        <v>3.8557866666666665</v>
      </c>
      <c r="M15" s="206">
        <v>4.0999999999999996</v>
      </c>
      <c r="N15" s="269" t="s">
        <v>48</v>
      </c>
      <c r="O15" s="206">
        <v>3.81</v>
      </c>
      <c r="P15" s="190"/>
    </row>
    <row r="16" spans="1:16" ht="24" x14ac:dyDescent="0.25">
      <c r="A16" s="201"/>
      <c r="B16" s="204"/>
      <c r="C16" s="33" t="s">
        <v>11</v>
      </c>
      <c r="D16" s="40"/>
      <c r="E16" s="38"/>
      <c r="F16" s="140">
        <v>3368</v>
      </c>
      <c r="G16" s="140">
        <v>10</v>
      </c>
      <c r="H16" s="141">
        <v>812</v>
      </c>
      <c r="I16" s="140">
        <v>1688</v>
      </c>
      <c r="J16" s="137">
        <f>I16+F16</f>
        <v>5056</v>
      </c>
      <c r="K16" s="137">
        <v>3600</v>
      </c>
      <c r="L16" s="138">
        <f>(J16*0.67)/1000/0.9375</f>
        <v>3.6133546666666665</v>
      </c>
      <c r="M16" s="207"/>
      <c r="N16" s="270"/>
      <c r="O16" s="207"/>
      <c r="P16" s="190"/>
    </row>
    <row r="17" spans="1:18" ht="24" x14ac:dyDescent="0.25">
      <c r="A17" s="201"/>
      <c r="B17" s="204"/>
      <c r="C17" s="107" t="s">
        <v>15</v>
      </c>
      <c r="D17" s="40"/>
      <c r="E17" s="38"/>
      <c r="F17" s="140">
        <v>4861</v>
      </c>
      <c r="G17" s="140">
        <v>10</v>
      </c>
      <c r="H17" s="141">
        <v>1108</v>
      </c>
      <c r="I17" s="140">
        <v>2194</v>
      </c>
      <c r="J17" s="139">
        <f>I17+F17</f>
        <v>7055</v>
      </c>
      <c r="K17" s="139">
        <v>4100</v>
      </c>
      <c r="L17" s="138">
        <f>(J17*0.65)/1000/0.9375</f>
        <v>4.8914666666666671</v>
      </c>
      <c r="M17" s="207"/>
      <c r="N17" s="270"/>
      <c r="O17" s="207"/>
      <c r="P17" s="190"/>
    </row>
    <row r="18" spans="1:18" ht="24" x14ac:dyDescent="0.25">
      <c r="A18" s="201"/>
      <c r="B18" s="204"/>
      <c r="C18" s="48" t="s">
        <v>23</v>
      </c>
      <c r="D18" s="46">
        <v>13.59</v>
      </c>
      <c r="E18" s="38">
        <f t="shared" si="0"/>
        <v>3.3975</v>
      </c>
      <c r="F18" s="149">
        <f>2350+650</f>
        <v>3000</v>
      </c>
      <c r="G18" s="149">
        <v>10</v>
      </c>
      <c r="H18" s="150">
        <v>1163</v>
      </c>
      <c r="I18" s="149">
        <v>2325</v>
      </c>
      <c r="J18" s="137">
        <f t="shared" si="1"/>
        <v>5325</v>
      </c>
      <c r="K18" s="137">
        <v>3600</v>
      </c>
      <c r="L18" s="138">
        <f>(J18*0.67)/1000/0.9375</f>
        <v>3.8056000000000001</v>
      </c>
      <c r="M18" s="207"/>
      <c r="N18" s="270"/>
      <c r="O18" s="207"/>
      <c r="P18" s="190"/>
    </row>
    <row r="19" spans="1:18" ht="24" x14ac:dyDescent="0.25">
      <c r="A19" s="202"/>
      <c r="B19" s="205"/>
      <c r="C19" s="48"/>
      <c r="D19" s="46">
        <f>SUM(D15:D18)</f>
        <v>25.92</v>
      </c>
      <c r="E19" s="38">
        <f t="shared" si="0"/>
        <v>6.48</v>
      </c>
      <c r="F19" s="137">
        <f>(D15*F15+F18*D18)/D19</f>
        <v>3000</v>
      </c>
      <c r="G19" s="137"/>
      <c r="H19" s="151"/>
      <c r="I19" s="137">
        <f>(I15*D15+I18*D18)/D19</f>
        <v>2248.4131944444443</v>
      </c>
      <c r="J19" s="137">
        <f t="shared" si="1"/>
        <v>5248.4131944444443</v>
      </c>
      <c r="K19" s="137"/>
      <c r="L19" s="152">
        <f>(J19*0.68)/1000/0.9375</f>
        <v>3.8068490370370371</v>
      </c>
      <c r="M19" s="208"/>
      <c r="N19" s="278"/>
      <c r="O19" s="208"/>
      <c r="P19" s="191"/>
    </row>
    <row r="20" spans="1:18" ht="24" x14ac:dyDescent="0.25">
      <c r="A20" s="192" t="s">
        <v>19</v>
      </c>
      <c r="B20" s="221" t="s">
        <v>10</v>
      </c>
      <c r="C20" s="9" t="s">
        <v>11</v>
      </c>
      <c r="D20" s="37">
        <v>42.19</v>
      </c>
      <c r="E20" s="38">
        <f t="shared" si="0"/>
        <v>10.547499999999999</v>
      </c>
      <c r="F20" s="153">
        <v>2900</v>
      </c>
      <c r="G20" s="153">
        <v>0</v>
      </c>
      <c r="H20" s="154">
        <v>737</v>
      </c>
      <c r="I20" s="153">
        <v>1613</v>
      </c>
      <c r="J20" s="155">
        <f t="shared" si="1"/>
        <v>4513</v>
      </c>
      <c r="K20" s="155">
        <v>3600</v>
      </c>
      <c r="L20" s="156">
        <f>(J20*0.76)/1000/0.92</f>
        <v>3.7281304347826087</v>
      </c>
      <c r="M20" s="224">
        <v>3.69</v>
      </c>
      <c r="N20" s="271" t="s">
        <v>73</v>
      </c>
      <c r="O20" s="275">
        <v>3.39</v>
      </c>
      <c r="P20" s="212" t="s">
        <v>77</v>
      </c>
    </row>
    <row r="21" spans="1:18" ht="24" x14ac:dyDescent="0.25">
      <c r="A21" s="193"/>
      <c r="B21" s="222"/>
      <c r="C21" s="9" t="s">
        <v>23</v>
      </c>
      <c r="D21" s="37"/>
      <c r="E21" s="38"/>
      <c r="F21" s="153">
        <v>3000</v>
      </c>
      <c r="G21" s="153">
        <v>10</v>
      </c>
      <c r="H21" s="154">
        <v>760</v>
      </c>
      <c r="I21" s="157">
        <f>1558*1.05</f>
        <v>1635.9</v>
      </c>
      <c r="J21" s="155">
        <f>I21+F21</f>
        <v>4635.8999999999996</v>
      </c>
      <c r="K21" s="155">
        <v>3600</v>
      </c>
      <c r="L21" s="156">
        <f>(J21*0.76)/1000/0.92</f>
        <v>3.8296565217391301</v>
      </c>
      <c r="M21" s="225"/>
      <c r="N21" s="272"/>
      <c r="O21" s="276"/>
      <c r="P21" s="213"/>
    </row>
    <row r="22" spans="1:18" ht="24" x14ac:dyDescent="0.25">
      <c r="A22" s="193"/>
      <c r="B22" s="222"/>
      <c r="C22" s="109" t="s">
        <v>15</v>
      </c>
      <c r="D22" s="37"/>
      <c r="E22" s="38"/>
      <c r="F22" s="153">
        <v>4497</v>
      </c>
      <c r="G22" s="153">
        <v>0</v>
      </c>
      <c r="H22" s="154">
        <v>985</v>
      </c>
      <c r="I22" s="153">
        <v>1987</v>
      </c>
      <c r="J22" s="158">
        <f>I22+F22</f>
        <v>6484</v>
      </c>
      <c r="K22" s="158">
        <v>4100</v>
      </c>
      <c r="L22" s="156">
        <f>(J22*0.72)/1000/0.92</f>
        <v>5.0744347826086953</v>
      </c>
      <c r="M22" s="225"/>
      <c r="N22" s="273"/>
      <c r="O22" s="276"/>
      <c r="P22" s="213"/>
    </row>
    <row r="23" spans="1:18" ht="24" x14ac:dyDescent="0.25">
      <c r="A23" s="193"/>
      <c r="B23" s="222"/>
      <c r="C23" s="9" t="s">
        <v>17</v>
      </c>
      <c r="D23" s="37">
        <v>8.08</v>
      </c>
      <c r="E23" s="38">
        <f t="shared" si="0"/>
        <v>2.02</v>
      </c>
      <c r="F23" s="153">
        <v>2349</v>
      </c>
      <c r="G23" s="153">
        <v>0</v>
      </c>
      <c r="H23" s="154">
        <v>974</v>
      </c>
      <c r="I23" s="153">
        <v>1959</v>
      </c>
      <c r="J23" s="155">
        <f t="shared" si="1"/>
        <v>4308</v>
      </c>
      <c r="K23" s="155">
        <v>3400</v>
      </c>
      <c r="L23" s="156">
        <f>(J23*0.76)/1000/0.92</f>
        <v>3.558782608695652</v>
      </c>
      <c r="M23" s="225"/>
      <c r="N23" s="273"/>
      <c r="O23" s="276"/>
      <c r="P23" s="213"/>
    </row>
    <row r="24" spans="1:18" ht="24" x14ac:dyDescent="0.25">
      <c r="A24" s="194"/>
      <c r="B24" s="223"/>
      <c r="C24" s="9"/>
      <c r="D24" s="37">
        <f>SUM(D20:D23)</f>
        <v>50.269999999999996</v>
      </c>
      <c r="E24" s="38">
        <f t="shared" si="0"/>
        <v>12.567499999999999</v>
      </c>
      <c r="F24" s="157">
        <f>(F20*D20+F23*D23)/D24</f>
        <v>2811.4366421324848</v>
      </c>
      <c r="G24" s="157"/>
      <c r="H24" s="159"/>
      <c r="I24" s="157">
        <f>(I20*D20+I23*D23)/D24</f>
        <v>1668.6132882434854</v>
      </c>
      <c r="J24" s="160">
        <f t="shared" si="1"/>
        <v>4480.0499303759698</v>
      </c>
      <c r="K24" s="160"/>
      <c r="L24" s="161">
        <f>(J24*0.74)/1000/0.92</f>
        <v>3.6035184222589316</v>
      </c>
      <c r="M24" s="226"/>
      <c r="N24" s="274"/>
      <c r="O24" s="277"/>
      <c r="P24" s="214"/>
    </row>
    <row r="25" spans="1:18" ht="18" customHeight="1" x14ac:dyDescent="0.25">
      <c r="A25" s="200" t="s">
        <v>20</v>
      </c>
      <c r="B25" s="215" t="s">
        <v>21</v>
      </c>
      <c r="C25" s="33" t="s">
        <v>22</v>
      </c>
      <c r="D25" s="40">
        <v>11.05</v>
      </c>
      <c r="E25" s="103">
        <f t="shared" si="0"/>
        <v>2.7625000000000002</v>
      </c>
      <c r="F25" s="140">
        <v>2745</v>
      </c>
      <c r="G25" s="140"/>
      <c r="H25" s="141"/>
      <c r="I25" s="140">
        <v>2342</v>
      </c>
      <c r="J25" s="137">
        <f t="shared" si="1"/>
        <v>5087</v>
      </c>
      <c r="K25" s="137"/>
      <c r="L25" s="138">
        <f>(J25*0.68)/1000/0.9375</f>
        <v>3.689770666666667</v>
      </c>
      <c r="M25" s="206">
        <v>4.6399999999999997</v>
      </c>
      <c r="N25" s="269" t="s">
        <v>74</v>
      </c>
      <c r="O25" s="206">
        <v>4.1900000000000004</v>
      </c>
      <c r="P25" s="218" t="s">
        <v>115</v>
      </c>
    </row>
    <row r="26" spans="1:18" ht="24" x14ac:dyDescent="0.25">
      <c r="A26" s="201"/>
      <c r="B26" s="216"/>
      <c r="C26" s="33" t="s">
        <v>11</v>
      </c>
      <c r="D26" s="40"/>
      <c r="E26" s="103"/>
      <c r="F26" s="140">
        <v>3368</v>
      </c>
      <c r="G26" s="140">
        <v>10</v>
      </c>
      <c r="H26" s="141">
        <v>815</v>
      </c>
      <c r="I26" s="140">
        <v>1708</v>
      </c>
      <c r="J26" s="137">
        <f t="shared" si="1"/>
        <v>5076</v>
      </c>
      <c r="K26" s="137">
        <v>3600</v>
      </c>
      <c r="L26" s="138">
        <f>(J26*0.67)/1000/0.9375</f>
        <v>3.6276480000000002</v>
      </c>
      <c r="M26" s="207"/>
      <c r="N26" s="270"/>
      <c r="O26" s="207"/>
      <c r="P26" s="219"/>
    </row>
    <row r="27" spans="1:18" ht="24" x14ac:dyDescent="0.25">
      <c r="A27" s="201"/>
      <c r="B27" s="216"/>
      <c r="C27" s="33" t="s">
        <v>17</v>
      </c>
      <c r="D27" s="40"/>
      <c r="E27" s="103"/>
      <c r="F27" s="140">
        <v>2700</v>
      </c>
      <c r="G27" s="140">
        <v>10</v>
      </c>
      <c r="H27" s="141">
        <v>1101</v>
      </c>
      <c r="I27" s="140">
        <v>2215</v>
      </c>
      <c r="J27" s="137">
        <f>I27+F27</f>
        <v>4915</v>
      </c>
      <c r="K27" s="137">
        <v>3400</v>
      </c>
      <c r="L27" s="138">
        <f>(J27*0.681)/1000/0.9375</f>
        <v>3.5702560000000001</v>
      </c>
      <c r="M27" s="207"/>
      <c r="N27" s="270"/>
      <c r="O27" s="207"/>
      <c r="P27" s="219"/>
    </row>
    <row r="28" spans="1:18" ht="24" x14ac:dyDescent="0.25">
      <c r="A28" s="201"/>
      <c r="B28" s="216"/>
      <c r="C28" s="107" t="s">
        <v>15</v>
      </c>
      <c r="D28" s="40">
        <v>10.029999999999999</v>
      </c>
      <c r="E28" s="103">
        <f t="shared" si="0"/>
        <v>2.5074999999999998</v>
      </c>
      <c r="F28" s="140">
        <v>4861</v>
      </c>
      <c r="G28" s="140">
        <v>10</v>
      </c>
      <c r="H28" s="141">
        <v>1111</v>
      </c>
      <c r="I28" s="140">
        <v>2215</v>
      </c>
      <c r="J28" s="139">
        <f t="shared" si="1"/>
        <v>7076</v>
      </c>
      <c r="K28" s="139">
        <v>4100</v>
      </c>
      <c r="L28" s="138">
        <f>(J28*0.65)/1000/0.9375</f>
        <v>4.9060266666666665</v>
      </c>
      <c r="M28" s="207"/>
      <c r="N28" s="270"/>
      <c r="O28" s="207"/>
      <c r="P28" s="219"/>
    </row>
    <row r="29" spans="1:18" ht="24" x14ac:dyDescent="0.25">
      <c r="A29" s="201"/>
      <c r="B29" s="216"/>
      <c r="C29" s="33" t="s">
        <v>23</v>
      </c>
      <c r="D29" s="40">
        <v>27.17</v>
      </c>
      <c r="E29" s="103">
        <f t="shared" si="0"/>
        <v>6.7925000000000004</v>
      </c>
      <c r="F29" s="140">
        <f>2350+650</f>
        <v>3000</v>
      </c>
      <c r="G29" s="140">
        <v>10</v>
      </c>
      <c r="H29" s="141">
        <v>1167</v>
      </c>
      <c r="I29" s="140">
        <v>2305</v>
      </c>
      <c r="J29" s="137">
        <f t="shared" si="1"/>
        <v>5305</v>
      </c>
      <c r="K29" s="137">
        <v>3600</v>
      </c>
      <c r="L29" s="138">
        <f>(J29*0.67)/1000/0.9375</f>
        <v>3.7913066666666668</v>
      </c>
      <c r="M29" s="207"/>
      <c r="N29" s="270"/>
      <c r="O29" s="207"/>
      <c r="P29" s="219"/>
    </row>
    <row r="30" spans="1:18" ht="54.75" customHeight="1" thickBot="1" x14ac:dyDescent="0.3">
      <c r="A30" s="202"/>
      <c r="B30" s="217"/>
      <c r="C30" s="33"/>
      <c r="D30" s="40">
        <f>SUM(D25:D29)</f>
        <v>48.25</v>
      </c>
      <c r="E30" s="103">
        <f t="shared" si="0"/>
        <v>12.0625</v>
      </c>
      <c r="F30" s="135">
        <f>(D25*F25+D28*F28+D29*F29)/D30</f>
        <v>3328.4576165803114</v>
      </c>
      <c r="G30" s="135"/>
      <c r="H30" s="136">
        <v>1120</v>
      </c>
      <c r="I30" s="135">
        <f>(D25*I25+D28*I28+D29*I29)/D30</f>
        <v>2294.7647668393784</v>
      </c>
      <c r="J30" s="137">
        <f t="shared" si="1"/>
        <v>5623.2223834196902</v>
      </c>
      <c r="K30" s="137"/>
      <c r="L30" s="152">
        <f>(J30*0.68)/1000/0.9375</f>
        <v>4.0787106354404159</v>
      </c>
      <c r="M30" s="208"/>
      <c r="N30" s="278"/>
      <c r="O30" s="208"/>
      <c r="P30" s="220"/>
    </row>
    <row r="31" spans="1:18" ht="17.45" customHeight="1" thickBot="1" x14ac:dyDescent="0.3">
      <c r="A31" s="209" t="s">
        <v>75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1"/>
      <c r="R31" s="114"/>
    </row>
    <row r="32" spans="1:18" ht="16.5" thickBot="1" x14ac:dyDescent="0.3">
      <c r="A32" s="209" t="s">
        <v>76</v>
      </c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1"/>
    </row>
  </sheetData>
  <mergeCells count="37">
    <mergeCell ref="B9:B11"/>
    <mergeCell ref="O20:O24"/>
    <mergeCell ref="M25:M30"/>
    <mergeCell ref="N25:N30"/>
    <mergeCell ref="O25:O30"/>
    <mergeCell ref="O9:O11"/>
    <mergeCell ref="O12:O14"/>
    <mergeCell ref="M15:M19"/>
    <mergeCell ref="N15:N19"/>
    <mergeCell ref="O15:O19"/>
    <mergeCell ref="A31:P31"/>
    <mergeCell ref="A25:A30"/>
    <mergeCell ref="B25:B30"/>
    <mergeCell ref="P25:P30"/>
    <mergeCell ref="N20:N24"/>
    <mergeCell ref="A32:P32"/>
    <mergeCell ref="A9:A11"/>
    <mergeCell ref="M9:M11"/>
    <mergeCell ref="P9:P11"/>
    <mergeCell ref="N12:N14"/>
    <mergeCell ref="M12:M14"/>
    <mergeCell ref="N9:N11"/>
    <mergeCell ref="A12:A13"/>
    <mergeCell ref="B12:B13"/>
    <mergeCell ref="P12:P19"/>
    <mergeCell ref="A15:A19"/>
    <mergeCell ref="B15:B19"/>
    <mergeCell ref="A20:A24"/>
    <mergeCell ref="B20:B24"/>
    <mergeCell ref="P20:P24"/>
    <mergeCell ref="M20:M24"/>
    <mergeCell ref="A1:P1"/>
    <mergeCell ref="A2:D2"/>
    <mergeCell ref="E2:M2"/>
    <mergeCell ref="P5:P8"/>
    <mergeCell ref="A6:A8"/>
    <mergeCell ref="N2:O2"/>
  </mergeCells>
  <pageMargins left="0.25" right="0.25" top="0.75" bottom="0.75" header="0.3" footer="0.3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AE5C-DEB5-4DFA-9B0C-22E2C71EEDFE}">
  <dimension ref="A1:F10"/>
  <sheetViews>
    <sheetView view="pageBreakPreview" zoomScale="90" zoomScaleNormal="100" zoomScaleSheetLayoutView="90" workbookViewId="0">
      <selection activeCell="F6" sqref="F6"/>
    </sheetView>
  </sheetViews>
  <sheetFormatPr defaultRowHeight="15" x14ac:dyDescent="0.25"/>
  <cols>
    <col min="1" max="1" width="24.7109375" customWidth="1"/>
    <col min="2" max="2" width="22.85546875" customWidth="1"/>
    <col min="3" max="3" width="17.42578125" customWidth="1"/>
    <col min="4" max="4" width="23.7109375" customWidth="1"/>
    <col min="5" max="5" width="31.7109375" customWidth="1"/>
    <col min="6" max="6" width="36.28515625" customWidth="1"/>
  </cols>
  <sheetData>
    <row r="1" spans="1:6" ht="24.75" thickBot="1" x14ac:dyDescent="0.45">
      <c r="A1" s="279" t="s">
        <v>95</v>
      </c>
      <c r="B1" s="280"/>
      <c r="C1" s="280"/>
      <c r="D1" s="280"/>
      <c r="E1" s="280"/>
      <c r="F1" s="281"/>
    </row>
    <row r="2" spans="1:6" ht="67.900000000000006" customHeight="1" x14ac:dyDescent="0.25">
      <c r="A2" s="115" t="s">
        <v>81</v>
      </c>
      <c r="B2" s="116" t="s">
        <v>96</v>
      </c>
      <c r="C2" s="117" t="s">
        <v>88</v>
      </c>
      <c r="D2" s="118" t="s">
        <v>96</v>
      </c>
      <c r="E2" s="119" t="s">
        <v>93</v>
      </c>
      <c r="F2" s="120" t="s">
        <v>87</v>
      </c>
    </row>
    <row r="3" spans="1:6" ht="116.45" customHeight="1" x14ac:dyDescent="0.25">
      <c r="A3" s="130" t="s">
        <v>99</v>
      </c>
      <c r="B3" s="122">
        <v>3.39</v>
      </c>
      <c r="C3" s="123" t="s">
        <v>90</v>
      </c>
      <c r="D3" s="124">
        <v>3.31</v>
      </c>
      <c r="E3" s="125" t="s">
        <v>101</v>
      </c>
      <c r="F3" s="126" t="s">
        <v>97</v>
      </c>
    </row>
    <row r="4" spans="1:6" ht="103.9" customHeight="1" x14ac:dyDescent="0.25">
      <c r="A4" s="130" t="s">
        <v>100</v>
      </c>
      <c r="B4" s="122">
        <v>3.75</v>
      </c>
      <c r="C4" s="123" t="s">
        <v>89</v>
      </c>
      <c r="D4" s="124">
        <v>3.69</v>
      </c>
      <c r="E4" s="125" t="s">
        <v>102</v>
      </c>
      <c r="F4" s="126" t="s">
        <v>98</v>
      </c>
    </row>
    <row r="5" spans="1:6" ht="86.45" customHeight="1" thickBot="1" x14ac:dyDescent="0.3">
      <c r="A5" s="128" t="s">
        <v>74</v>
      </c>
      <c r="B5" s="129">
        <v>4.1900000000000004</v>
      </c>
      <c r="C5" s="123" t="s">
        <v>91</v>
      </c>
      <c r="D5" s="124">
        <v>4.6399999999999997</v>
      </c>
      <c r="E5" s="131" t="s">
        <v>92</v>
      </c>
      <c r="F5" s="126" t="s">
        <v>112</v>
      </c>
    </row>
    <row r="6" spans="1:6" ht="45.6" customHeight="1" x14ac:dyDescent="0.25">
      <c r="A6" s="130" t="s">
        <v>84</v>
      </c>
      <c r="B6" s="122">
        <v>4.0999999999999996</v>
      </c>
      <c r="C6" s="133" t="s">
        <v>107</v>
      </c>
      <c r="D6" s="124">
        <v>4.3499999999999996</v>
      </c>
      <c r="E6" s="131" t="s">
        <v>103</v>
      </c>
      <c r="F6" s="126" t="s">
        <v>105</v>
      </c>
    </row>
    <row r="7" spans="1:6" ht="39.75" thickBot="1" x14ac:dyDescent="0.3">
      <c r="A7" s="121" t="s">
        <v>83</v>
      </c>
      <c r="B7" s="122">
        <v>3.99</v>
      </c>
      <c r="C7" s="134" t="s">
        <v>108</v>
      </c>
      <c r="D7" s="127">
        <v>4.0999999999999996</v>
      </c>
      <c r="E7" s="131" t="s">
        <v>104</v>
      </c>
      <c r="F7" s="132" t="s">
        <v>106</v>
      </c>
    </row>
    <row r="8" spans="1:6" ht="39" x14ac:dyDescent="0.25">
      <c r="A8" s="130" t="s">
        <v>82</v>
      </c>
      <c r="B8" s="122">
        <v>2.97</v>
      </c>
      <c r="C8" s="282" t="s">
        <v>94</v>
      </c>
      <c r="D8" s="283"/>
      <c r="E8" s="283"/>
      <c r="F8" s="284"/>
    </row>
    <row r="9" spans="1:6" ht="19.5" x14ac:dyDescent="0.25">
      <c r="A9" s="121" t="s">
        <v>86</v>
      </c>
      <c r="B9" s="122">
        <v>2.48</v>
      </c>
      <c r="C9" s="282"/>
      <c r="D9" s="283"/>
      <c r="E9" s="283"/>
      <c r="F9" s="284"/>
    </row>
    <row r="10" spans="1:6" ht="20.25" thickBot="1" x14ac:dyDescent="0.3">
      <c r="A10" s="121" t="s">
        <v>85</v>
      </c>
      <c r="B10" s="122">
        <v>3.51</v>
      </c>
      <c r="C10" s="285"/>
      <c r="D10" s="286"/>
      <c r="E10" s="286"/>
      <c r="F10" s="287"/>
    </row>
  </sheetData>
  <mergeCells count="2">
    <mergeCell ref="A1:F1"/>
    <mergeCell ref="C8:F10"/>
  </mergeCells>
  <pageMargins left="0.7" right="0.7" top="0.75" bottom="0.75" header="0.3" footer="0.3"/>
  <pageSetup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269B-1F91-41E9-B137-CC67FAA0DF0F}">
  <dimension ref="A1:G7"/>
  <sheetViews>
    <sheetView tabSelected="1" view="pageBreakPreview" zoomScaleNormal="100" zoomScaleSheetLayoutView="100" workbookViewId="0">
      <selection activeCell="G5" sqref="G5:G6"/>
    </sheetView>
  </sheetViews>
  <sheetFormatPr defaultRowHeight="15" x14ac:dyDescent="0.25"/>
  <cols>
    <col min="1" max="1" width="17" customWidth="1"/>
    <col min="2" max="3" width="22.140625" customWidth="1"/>
    <col min="4" max="4" width="21.85546875" customWidth="1"/>
    <col min="5" max="6" width="19.5703125" customWidth="1"/>
    <col min="7" max="7" width="31.7109375" customWidth="1"/>
  </cols>
  <sheetData>
    <row r="1" spans="1:7" ht="34.5" customHeight="1" thickBot="1" x14ac:dyDescent="0.3">
      <c r="A1" s="288" t="s">
        <v>40</v>
      </c>
      <c r="B1" s="289"/>
      <c r="C1" s="289"/>
      <c r="D1" s="289"/>
      <c r="E1" s="289"/>
      <c r="F1" s="289"/>
      <c r="G1" s="290"/>
    </row>
    <row r="2" spans="1:7" ht="96" customHeight="1" x14ac:dyDescent="0.25">
      <c r="A2" s="82" t="s">
        <v>39</v>
      </c>
      <c r="B2" s="83" t="s">
        <v>63</v>
      </c>
      <c r="C2" s="84" t="s">
        <v>50</v>
      </c>
      <c r="D2" s="81" t="s">
        <v>64</v>
      </c>
      <c r="E2" s="75" t="s">
        <v>63</v>
      </c>
      <c r="F2" s="76" t="s">
        <v>50</v>
      </c>
      <c r="G2" s="77" t="s">
        <v>41</v>
      </c>
    </row>
    <row r="3" spans="1:7" ht="45" x14ac:dyDescent="0.25">
      <c r="A3" s="91" t="s">
        <v>44</v>
      </c>
      <c r="B3" s="92">
        <v>3.31</v>
      </c>
      <c r="C3" s="93" t="s">
        <v>52</v>
      </c>
      <c r="D3" s="71" t="s">
        <v>111</v>
      </c>
      <c r="E3" s="72">
        <v>3.38</v>
      </c>
      <c r="F3" s="70" t="s">
        <v>53</v>
      </c>
      <c r="G3" s="78" t="s">
        <v>59</v>
      </c>
    </row>
    <row r="4" spans="1:7" ht="45" x14ac:dyDescent="0.25">
      <c r="A4" s="86" t="s">
        <v>45</v>
      </c>
      <c r="B4" s="85">
        <v>3.69</v>
      </c>
      <c r="C4" s="87" t="s">
        <v>54</v>
      </c>
      <c r="D4" s="67" t="s">
        <v>46</v>
      </c>
      <c r="E4" s="73">
        <v>3.39</v>
      </c>
      <c r="F4" s="68" t="s">
        <v>55</v>
      </c>
      <c r="G4" s="79" t="s">
        <v>65</v>
      </c>
    </row>
    <row r="5" spans="1:7" ht="30" customHeight="1" x14ac:dyDescent="0.25">
      <c r="A5" s="94" t="s">
        <v>42</v>
      </c>
      <c r="B5" s="92">
        <v>4.3499999999999996</v>
      </c>
      <c r="C5" s="93" t="s">
        <v>56</v>
      </c>
      <c r="D5" s="71" t="s">
        <v>47</v>
      </c>
      <c r="E5" s="72">
        <v>3.98</v>
      </c>
      <c r="F5" s="291" t="s">
        <v>51</v>
      </c>
      <c r="G5" s="293" t="s">
        <v>113</v>
      </c>
    </row>
    <row r="6" spans="1:7" ht="30" x14ac:dyDescent="0.25">
      <c r="A6" s="94" t="s">
        <v>43</v>
      </c>
      <c r="B6" s="96">
        <v>4.0999999999999996</v>
      </c>
      <c r="C6" s="95" t="s">
        <v>57</v>
      </c>
      <c r="D6" s="71" t="s">
        <v>48</v>
      </c>
      <c r="E6" s="72">
        <v>3.81</v>
      </c>
      <c r="F6" s="291"/>
      <c r="G6" s="294"/>
    </row>
    <row r="7" spans="1:7" ht="75.75" thickBot="1" x14ac:dyDescent="0.3">
      <c r="A7" s="88" t="s">
        <v>49</v>
      </c>
      <c r="B7" s="89">
        <v>4.6399999999999997</v>
      </c>
      <c r="C7" s="90" t="s">
        <v>58</v>
      </c>
      <c r="D7" s="69" t="s">
        <v>61</v>
      </c>
      <c r="E7" s="74" t="s">
        <v>62</v>
      </c>
      <c r="F7" s="292"/>
      <c r="G7" s="80" t="s">
        <v>60</v>
      </c>
    </row>
  </sheetData>
  <mergeCells count="3">
    <mergeCell ref="A1:G1"/>
    <mergeCell ref="F5:F7"/>
    <mergeCell ref="G5:G6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Existing Linkage</vt:lpstr>
      <vt:lpstr>Proposed within current linkage</vt:lpstr>
      <vt:lpstr>Sheet1</vt:lpstr>
      <vt:lpstr>Details</vt:lpstr>
      <vt:lpstr>VC IPP and UNL</vt:lpstr>
      <vt:lpstr>Comparision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SE Fuel LUCKNOW</cp:lastModifiedBy>
  <cp:lastPrinted>2026-05-07T21:43:57Z</cp:lastPrinted>
  <dcterms:created xsi:type="dcterms:W3CDTF">2026-04-01T00:26:33Z</dcterms:created>
  <dcterms:modified xsi:type="dcterms:W3CDTF">2026-05-11T19:43:56Z</dcterms:modified>
</cp:coreProperties>
</file>