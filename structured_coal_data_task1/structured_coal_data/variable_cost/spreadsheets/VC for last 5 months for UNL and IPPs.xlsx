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 2024\VC Reduction 2026\"/>
    </mc:Choice>
  </mc:AlternateContent>
  <xr:revisionPtr revIDLastSave="0" documentId="13_ncr:1_{821BD70B-4811-4927-B923-FAB759DE4D8D}" xr6:coauthVersionLast="47" xr6:coauthVersionMax="47" xr10:uidLastSave="{00000000-0000-0000-0000-000000000000}"/>
  <bookViews>
    <workbookView xWindow="-120" yWindow="-120" windowWidth="29040" windowHeight="15840" xr2:uid="{A8008D7C-FA46-496E-90FF-064CDC47E5E4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3" l="1"/>
  <c r="P27" i="3" s="1"/>
  <c r="Q27" i="3" s="1"/>
  <c r="O27" i="3"/>
  <c r="P22" i="3"/>
  <c r="O22" i="3"/>
  <c r="N22" i="3"/>
  <c r="P17" i="3"/>
  <c r="O17" i="3"/>
  <c r="N17" i="3"/>
  <c r="O10" i="3"/>
  <c r="N10" i="3"/>
  <c r="N6" i="3"/>
  <c r="P6" i="3"/>
  <c r="O6" i="3"/>
  <c r="L9" i="3"/>
  <c r="O5" i="3"/>
  <c r="N5" i="3"/>
  <c r="M29" i="3"/>
  <c r="M30" i="3"/>
  <c r="M31" i="3"/>
  <c r="M32" i="3"/>
  <c r="M28" i="3"/>
  <c r="L32" i="3"/>
  <c r="M27" i="3"/>
  <c r="K29" i="3"/>
  <c r="K30" i="3"/>
  <c r="K31" i="3"/>
  <c r="K32" i="3"/>
  <c r="K28" i="3"/>
  <c r="J32" i="3"/>
  <c r="I32" i="3"/>
  <c r="L26" i="3"/>
  <c r="M26" i="3" s="1"/>
  <c r="M23" i="3"/>
  <c r="M24" i="3"/>
  <c r="M25" i="3"/>
  <c r="M22" i="3"/>
  <c r="K24" i="3"/>
  <c r="K25" i="3"/>
  <c r="K26" i="3"/>
  <c r="K22" i="3"/>
  <c r="J26" i="3"/>
  <c r="I26" i="3"/>
  <c r="M13" i="3"/>
  <c r="L13" i="3"/>
  <c r="M11" i="3"/>
  <c r="M12" i="3"/>
  <c r="M10" i="3"/>
  <c r="L21" i="3"/>
  <c r="M21" i="3" s="1"/>
  <c r="M18" i="3"/>
  <c r="M19" i="3"/>
  <c r="M20" i="3"/>
  <c r="M17" i="3"/>
  <c r="K18" i="3"/>
  <c r="K19" i="3"/>
  <c r="K21" i="3"/>
  <c r="K17" i="3"/>
  <c r="J21" i="3"/>
  <c r="I21" i="3"/>
  <c r="M9" i="3"/>
  <c r="M8" i="3"/>
  <c r="M6" i="3"/>
  <c r="L7" i="3"/>
  <c r="L8" i="3"/>
  <c r="L10" i="3"/>
  <c r="L11" i="3"/>
  <c r="L12" i="3"/>
  <c r="L14" i="3"/>
  <c r="L15" i="3"/>
  <c r="L16" i="3"/>
  <c r="L17" i="3"/>
  <c r="L18" i="3"/>
  <c r="L19" i="3"/>
  <c r="L20" i="3"/>
  <c r="L22" i="3"/>
  <c r="L23" i="3"/>
  <c r="L24" i="3"/>
  <c r="L25" i="3"/>
  <c r="L27" i="3"/>
  <c r="L28" i="3"/>
  <c r="L29" i="3"/>
  <c r="L30" i="3"/>
  <c r="L31" i="3"/>
  <c r="L33" i="3"/>
  <c r="L6" i="3"/>
  <c r="M5" i="3"/>
  <c r="J13" i="3"/>
  <c r="K13" i="3" s="1"/>
  <c r="K12" i="3"/>
  <c r="K11" i="3"/>
  <c r="I13" i="3"/>
  <c r="J8" i="3"/>
  <c r="J9" i="3" s="1"/>
  <c r="I8" i="3"/>
  <c r="I6" i="3"/>
  <c r="I9" i="3" s="1"/>
  <c r="Q17" i="3"/>
  <c r="J27" i="3"/>
  <c r="H17" i="3"/>
  <c r="H27" i="3"/>
  <c r="Q7" i="3" l="1"/>
  <c r="K9" i="3"/>
  <c r="K8" i="3"/>
  <c r="K6" i="3"/>
  <c r="O33" i="3"/>
  <c r="P5" i="3"/>
  <c r="Q5" i="3" s="1"/>
  <c r="N33" i="3"/>
  <c r="P10" i="3"/>
  <c r="Q10" i="3" s="1"/>
  <c r="Q22" i="3"/>
  <c r="K10" i="3"/>
  <c r="I33" i="3"/>
  <c r="K5" i="3"/>
  <c r="P33" i="3" l="1"/>
  <c r="Q6" i="3"/>
  <c r="E27" i="3" l="1"/>
  <c r="F27" i="3" s="1"/>
  <c r="G22" i="3"/>
  <c r="H22" i="3" s="1"/>
  <c r="E22" i="3"/>
  <c r="E17" i="3"/>
  <c r="F17" i="3" s="1"/>
  <c r="E14" i="3"/>
  <c r="F14" i="3" s="1"/>
  <c r="F10" i="3"/>
  <c r="E10" i="3"/>
  <c r="F6" i="3"/>
  <c r="E6" i="3"/>
  <c r="F5" i="3"/>
  <c r="E5" i="3"/>
  <c r="F22" i="3" l="1"/>
  <c r="E33" i="3"/>
  <c r="G14" i="3"/>
  <c r="H14" i="3" s="1"/>
  <c r="F33" i="3"/>
  <c r="G33" i="3" s="1"/>
  <c r="G10" i="3"/>
  <c r="H10" i="3" s="1"/>
  <c r="G6" i="3"/>
  <c r="G5" i="3"/>
  <c r="H5" i="3" s="1"/>
  <c r="H6" i="3" l="1"/>
  <c r="H7" i="3"/>
  <c r="D32" i="3" l="1"/>
  <c r="U32" i="3" s="1"/>
  <c r="R31" i="3"/>
  <c r="Z30" i="3"/>
  <c r="Z32" i="3" s="1"/>
  <c r="V30" i="3"/>
  <c r="X30" i="3" s="1"/>
  <c r="V29" i="3"/>
  <c r="X29" i="3" s="1"/>
  <c r="V28" i="3"/>
  <c r="X28" i="3" s="1"/>
  <c r="V27" i="3"/>
  <c r="X27" i="3" s="1"/>
  <c r="D26" i="3"/>
  <c r="Z25" i="3"/>
  <c r="V25" i="3"/>
  <c r="X25" i="3" s="1"/>
  <c r="V24" i="3"/>
  <c r="X24" i="3" s="1"/>
  <c r="U23" i="3"/>
  <c r="V23" i="3" s="1"/>
  <c r="X23" i="3" s="1"/>
  <c r="Z22" i="3"/>
  <c r="V22" i="3"/>
  <c r="X22" i="3" s="1"/>
  <c r="Z21" i="3"/>
  <c r="D21" i="3"/>
  <c r="R20" i="3"/>
  <c r="V20" i="3" s="1"/>
  <c r="X20" i="3" s="1"/>
  <c r="V19" i="3"/>
  <c r="X19" i="3" s="1"/>
  <c r="V18" i="3"/>
  <c r="X18" i="3" s="1"/>
  <c r="V17" i="3"/>
  <c r="X17" i="3" s="1"/>
  <c r="D16" i="3"/>
  <c r="Z15" i="3"/>
  <c r="Z16" i="3" s="1"/>
  <c r="V15" i="3"/>
  <c r="X15" i="3" s="1"/>
  <c r="V14" i="3"/>
  <c r="X14" i="3" s="1"/>
  <c r="Z12" i="3"/>
  <c r="Z13" i="3" s="1"/>
  <c r="V12" i="3"/>
  <c r="X12" i="3" s="1"/>
  <c r="V11" i="3"/>
  <c r="X11" i="3" s="1"/>
  <c r="V10" i="3"/>
  <c r="X10" i="3" s="1"/>
  <c r="V8" i="3"/>
  <c r="X8" i="3" s="1"/>
  <c r="V7" i="3"/>
  <c r="X7" i="3" s="1"/>
  <c r="U6" i="3"/>
  <c r="V6" i="3" s="1"/>
  <c r="X6" i="3" s="1"/>
  <c r="V5" i="3"/>
  <c r="X5" i="3" s="1"/>
  <c r="Z26" i="3" l="1"/>
  <c r="AA22" i="3" s="1"/>
  <c r="D37" i="3"/>
  <c r="D38" i="3" s="1"/>
  <c r="U21" i="3"/>
  <c r="AA10" i="3"/>
  <c r="AA17" i="3"/>
  <c r="R26" i="3"/>
  <c r="R32" i="3"/>
  <c r="V32" i="3" s="1"/>
  <c r="X32" i="3" s="1"/>
  <c r="U26" i="3"/>
  <c r="V31" i="3"/>
  <c r="X31" i="3" s="1"/>
  <c r="AA27" i="3" s="1"/>
  <c r="R16" i="3"/>
  <c r="U16" i="3"/>
  <c r="R21" i="3"/>
  <c r="Z36" i="3" l="1"/>
  <c r="V21" i="3"/>
  <c r="X21" i="3" s="1"/>
  <c r="V16" i="3"/>
  <c r="X16" i="3" s="1"/>
  <c r="V26" i="3"/>
  <c r="X26" i="3" s="1"/>
  <c r="J33" i="3"/>
</calcChain>
</file>

<file path=xl/sharedStrings.xml><?xml version="1.0" encoding="utf-8"?>
<sst xmlns="http://schemas.openxmlformats.org/spreadsheetml/2006/main" count="105" uniqueCount="79">
  <si>
    <t>Power Station</t>
  </si>
  <si>
    <t>Nov 1–15, 2025</t>
  </si>
  <si>
    <t>Jan 1–15, 2026</t>
  </si>
  <si>
    <t>Feb 1–15, 2026</t>
  </si>
  <si>
    <t>Mar 1–15, 2026</t>
  </si>
  <si>
    <t>Apr 1–15, 2026</t>
  </si>
  <si>
    <t>Panki</t>
  </si>
  <si>
    <t>Parichha Ext.</t>
  </si>
  <si>
    <t>Harduaganj (Main)</t>
  </si>
  <si>
    <t>Harduaganj Ext.</t>
  </si>
  <si>
    <t>Harduaganj Ext. II</t>
  </si>
  <si>
    <t>Jawaharpur</t>
  </si>
  <si>
    <t>Ghatampur (NUPPL)</t>
  </si>
  <si>
    <t>Bara (Prayagraj)</t>
  </si>
  <si>
    <t>Meja Power</t>
  </si>
  <si>
    <t>Lalitpur Power</t>
  </si>
  <si>
    <t>Rosa-I</t>
  </si>
  <si>
    <t>Rosa-II</t>
  </si>
  <si>
    <t>Variable Charge (Rs/Unit) as per UPSLDC</t>
  </si>
  <si>
    <t>BEPL, Barkhera</t>
  </si>
  <si>
    <t>BEPL, Kundarkhi</t>
  </si>
  <si>
    <t>BEPL, Maqsoodpur</t>
  </si>
  <si>
    <t>May 1–15, 2026</t>
  </si>
  <si>
    <t>May 16–31, 2026</t>
  </si>
  <si>
    <t>BEPL, Khambhankhera</t>
  </si>
  <si>
    <t>BEPL,Utraula</t>
  </si>
  <si>
    <t>KSL, Mahanadi</t>
  </si>
  <si>
    <r>
      <t xml:space="preserve">Coal Cost Dynamics                                                                                                                                                        
</t>
    </r>
    <r>
      <rPr>
        <b/>
        <sz val="11"/>
        <color theme="1"/>
        <rFont val="Aptos Narrow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 tentative Variable cost due to coal)</t>
    </r>
  </si>
  <si>
    <t xml:space="preserve">        </t>
  </si>
  <si>
    <t>TPS</t>
  </si>
  <si>
    <t>Linkage/Bridge Linkage</t>
  </si>
  <si>
    <t>Name Of Coal Company</t>
  </si>
  <si>
    <t>Annual Coal Linkage (in Lac MT)</t>
  </si>
  <si>
    <t>Rate of Coal (Rs/MT)</t>
  </si>
  <si>
    <t>Premium Rate (% of Basic Rate)</t>
  </si>
  <si>
    <t>Distance from Coal Company (in Kms)</t>
  </si>
  <si>
    <t>Freight Rate (Rs/MT)</t>
  </si>
  <si>
    <t>Landed Cost of Coal (Rs/MT)</t>
  </si>
  <si>
    <t>GCV  (Kcal/Kg)</t>
  </si>
  <si>
    <t xml:space="preserve"> Approx. Variable Cost (Rs/kwh) </t>
  </si>
  <si>
    <t>Approx VC ( as per original Linkage)</t>
  </si>
  <si>
    <t>Planned Coal Supply (Lac MT)</t>
  </si>
  <si>
    <t>Expected Variable Charge after diversion (Rs/Unit)</t>
  </si>
  <si>
    <t>Remarks</t>
  </si>
  <si>
    <t>Anpara</t>
  </si>
  <si>
    <t>Linkage</t>
  </si>
  <si>
    <t>NCL</t>
  </si>
  <si>
    <t>Increase in allocation will increase coal availibilty and avoid Performance Incentive (40% of base price) Payment to NCL</t>
  </si>
  <si>
    <t>Obra B</t>
  </si>
  <si>
    <t>Landed cost of coal is calculated at Obra TPS level which causes decrease in coal cost of Obra C and increase in coal cost of Obra B.</t>
  </si>
  <si>
    <t>Obra C *</t>
  </si>
  <si>
    <t>Bridge Linkage</t>
  </si>
  <si>
    <t>BCCL</t>
  </si>
  <si>
    <t>Panki *</t>
  </si>
  <si>
    <t xml:space="preserve">NCL </t>
  </si>
  <si>
    <t xml:space="preserve">1.Diversion of NCL coal from Parichha = 1.5 Lac MT.
2. Diversion of BCCL coal from Jwaharpur = 1.5 lac MT
</t>
  </si>
  <si>
    <t xml:space="preserve">CCL </t>
  </si>
  <si>
    <t>Harduaganj</t>
  </si>
  <si>
    <t>CCL</t>
  </si>
  <si>
    <t>Harduaganj E               ( 1X660 MW)</t>
  </si>
  <si>
    <t xml:space="preserve">Bridge Linkage </t>
  </si>
  <si>
    <t>SECL</t>
  </si>
  <si>
    <t>Parichha</t>
  </si>
  <si>
    <t>1.Allocation from CCL will decrease coal cost
2. Lalitpur is super technology based so more efficient plant.</t>
  </si>
  <si>
    <t>Jawaharpur*</t>
  </si>
  <si>
    <t>ECL</t>
  </si>
  <si>
    <t>1.Avoid ECL coal loading due to poor quality.
2.Divert CCL/NCL rakes to JTPS for cost optimization.
3.VC revised to ₹4.38/unit (effective 16.04.2026).
4.Expected reduction to ~₹4.15/unit after April’26 operations.</t>
  </si>
  <si>
    <t>#Actual GCV and coal cost varries sidings to sidings and accordingly VC may Change.</t>
  </si>
  <si>
    <t>##Coal linkage for Obra B has been reduced from 42.26 LMT to 36.18 LMT and for Parichha from 42.19 LMT to 32.47 LMT by NCL, citing deletion of units as the reason.</t>
  </si>
  <si>
    <t>Amount of Coal Stock (Rs)</t>
  </si>
  <si>
    <t>Total Coal Stock (MT)</t>
  </si>
  <si>
    <t>Rate of coal in stock (Rs/MT)</t>
  </si>
  <si>
    <t>At the end of March 2026</t>
  </si>
  <si>
    <t>At the end of April 2026</t>
  </si>
  <si>
    <t>Total Coal Procured (MT)</t>
  </si>
  <si>
    <t>Amount of Coal cost (Rs)</t>
  </si>
  <si>
    <t>Rate of coal procured in April 26 (Rs/MT)</t>
  </si>
  <si>
    <t>Freight (Rs/MT)</t>
  </si>
  <si>
    <t>Rate of landed cost of  coal in stock (Rs/MT)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</si>
</sst>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9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4"/>
      <name val="Aptos Narrow"/>
      <family val="2"/>
      <scheme val="minor"/>
    </font>
    <font>
      <b/>
      <sz val="14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8"/>
      <name val="Aptos Narrow"/>
      <family val="2"/>
      <scheme val="minor"/>
    </font>
    <font>
      <b/>
      <sz val="18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2" fillId="4" borderId="1" xfId="0" applyFont="1" applyFill="1" applyBorder="1" applyAlignment="1">
      <alignment horizontal="left" vertical="center" wrapText="1" indent="1" readingOrder="1"/>
    </xf>
    <xf numFmtId="0" fontId="0" fillId="0" borderId="21" xfId="0" applyBorder="1"/>
    <xf numFmtId="0" fontId="9" fillId="0" borderId="8" xfId="0" applyFont="1" applyBorder="1" applyAlignment="1">
      <alignment vertical="center"/>
    </xf>
    <xf numFmtId="0" fontId="9" fillId="0" borderId="9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vertical="center"/>
    </xf>
    <xf numFmtId="2" fontId="10" fillId="2" borderId="1" xfId="0" applyNumberFormat="1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>
      <alignment horizontal="center" wrapText="1"/>
    </xf>
    <xf numFmtId="0" fontId="6" fillId="5" borderId="3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0" fillId="5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1" fontId="10" fillId="5" borderId="1" xfId="0" applyNumberFormat="1" applyFont="1" applyFill="1" applyBorder="1" applyAlignment="1">
      <alignment vertical="center"/>
    </xf>
    <xf numFmtId="1" fontId="11" fillId="5" borderId="1" xfId="0" applyNumberFormat="1" applyFont="1" applyFill="1" applyBorder="1" applyAlignment="1">
      <alignment vertical="center"/>
    </xf>
    <xf numFmtId="2" fontId="11" fillId="5" borderId="1" xfId="0" applyNumberFormat="1" applyFont="1" applyFill="1" applyBorder="1" applyAlignment="1">
      <alignment horizontal="center" vertical="center"/>
    </xf>
    <xf numFmtId="2" fontId="10" fillId="5" borderId="1" xfId="0" applyNumberFormat="1" applyFont="1" applyFill="1" applyBorder="1" applyAlignment="1">
      <alignment horizontal="center" vertical="center"/>
    </xf>
    <xf numFmtId="2" fontId="10" fillId="2" borderId="1" xfId="0" applyNumberFormat="1" applyFont="1" applyFill="1" applyBorder="1" applyAlignment="1">
      <alignment vertical="center"/>
    </xf>
    <xf numFmtId="1" fontId="10" fillId="2" borderId="1" xfId="0" applyNumberFormat="1" applyFont="1" applyFill="1" applyBorder="1" applyAlignment="1">
      <alignment vertical="center"/>
    </xf>
    <xf numFmtId="1" fontId="10" fillId="2" borderId="1" xfId="0" applyNumberFormat="1" applyFont="1" applyFill="1" applyBorder="1" applyAlignment="1">
      <alignment horizontal="center" vertical="center"/>
    </xf>
    <xf numFmtId="1" fontId="13" fillId="2" borderId="1" xfId="0" applyNumberFormat="1" applyFont="1" applyFill="1" applyBorder="1" applyAlignment="1">
      <alignment vertical="center"/>
    </xf>
    <xf numFmtId="2" fontId="11" fillId="2" borderId="1" xfId="0" applyNumberFormat="1" applyFont="1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2" fontId="10" fillId="5" borderId="1" xfId="0" applyNumberFormat="1" applyFont="1" applyFill="1" applyBorder="1" applyAlignment="1">
      <alignment vertical="center"/>
    </xf>
    <xf numFmtId="1" fontId="14" fillId="5" borderId="1" xfId="0" applyNumberFormat="1" applyFont="1" applyFill="1" applyBorder="1" applyAlignment="1">
      <alignment vertical="center"/>
    </xf>
    <xf numFmtId="1" fontId="14" fillId="5" borderId="1" xfId="0" applyNumberFormat="1" applyFont="1" applyFill="1" applyBorder="1" applyAlignment="1">
      <alignment horizontal="right" vertical="center"/>
    </xf>
    <xf numFmtId="1" fontId="15" fillId="5" borderId="1" xfId="0" applyNumberFormat="1" applyFont="1" applyFill="1" applyBorder="1" applyAlignment="1">
      <alignment vertical="center"/>
    </xf>
    <xf numFmtId="2" fontId="14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" fontId="16" fillId="5" borderId="1" xfId="0" applyNumberFormat="1" applyFont="1" applyFill="1" applyBorder="1" applyAlignment="1">
      <alignment vertical="center"/>
    </xf>
    <xf numFmtId="0" fontId="14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2" fontId="15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vertical="center"/>
    </xf>
    <xf numFmtId="0" fontId="14" fillId="6" borderId="1" xfId="0" applyFont="1" applyFill="1" applyBorder="1" applyAlignment="1">
      <alignment horizontal="right" vertical="center"/>
    </xf>
    <xf numFmtId="1" fontId="16" fillId="6" borderId="1" xfId="0" applyNumberFormat="1" applyFont="1" applyFill="1" applyBorder="1" applyAlignment="1">
      <alignment vertical="center"/>
    </xf>
    <xf numFmtId="2" fontId="14" fillId="6" borderId="1" xfId="0" applyNumberFormat="1" applyFont="1" applyFill="1" applyBorder="1" applyAlignment="1">
      <alignment horizontal="center" vertical="center"/>
    </xf>
    <xf numFmtId="2" fontId="14" fillId="7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" fontId="15" fillId="6" borderId="1" xfId="0" applyNumberFormat="1" applyFont="1" applyFill="1" applyBorder="1" applyAlignment="1">
      <alignment vertical="center"/>
    </xf>
    <xf numFmtId="0" fontId="6" fillId="6" borderId="3" xfId="0" applyFont="1" applyFill="1" applyBorder="1" applyAlignment="1">
      <alignment vertical="center"/>
    </xf>
    <xf numFmtId="1" fontId="14" fillId="6" borderId="1" xfId="0" applyNumberFormat="1" applyFont="1" applyFill="1" applyBorder="1" applyAlignment="1">
      <alignment vertical="center"/>
    </xf>
    <xf numFmtId="2" fontId="15" fillId="6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vertical="center"/>
    </xf>
    <xf numFmtId="0" fontId="15" fillId="5" borderId="1" xfId="0" applyFont="1" applyFill="1" applyBorder="1" applyAlignment="1">
      <alignment horizontal="right" vertical="center"/>
    </xf>
    <xf numFmtId="2" fontId="14" fillId="3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vertical="center"/>
    </xf>
    <xf numFmtId="1" fontId="15" fillId="5" borderId="1" xfId="0" applyNumberFormat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right" vertical="center"/>
    </xf>
    <xf numFmtId="1" fontId="15" fillId="2" borderId="1" xfId="0" applyNumberFormat="1" applyFont="1" applyFill="1" applyBorder="1" applyAlignment="1">
      <alignment vertical="center"/>
    </xf>
    <xf numFmtId="2" fontId="14" fillId="2" borderId="1" xfId="0" applyNumberFormat="1" applyFont="1" applyFill="1" applyBorder="1" applyAlignment="1">
      <alignment horizontal="center" vertical="center"/>
    </xf>
    <xf numFmtId="1" fontId="14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1" fontId="16" fillId="2" borderId="1" xfId="0" applyNumberFormat="1" applyFont="1" applyFill="1" applyBorder="1" applyAlignment="1">
      <alignment vertical="center"/>
    </xf>
    <xf numFmtId="1" fontId="14" fillId="2" borderId="1" xfId="0" applyNumberFormat="1" applyFont="1" applyFill="1" applyBorder="1" applyAlignment="1">
      <alignment horizontal="right" vertical="center"/>
    </xf>
    <xf numFmtId="1" fontId="17" fillId="2" borderId="1" xfId="0" applyNumberFormat="1" applyFont="1" applyFill="1" applyBorder="1" applyAlignment="1">
      <alignment vertical="center"/>
    </xf>
    <xf numFmtId="2" fontId="15" fillId="2" borderId="1" xfId="0" applyNumberFormat="1" applyFont="1" applyFill="1" applyBorder="1" applyAlignment="1">
      <alignment horizontal="center" vertical="center"/>
    </xf>
    <xf numFmtId="0" fontId="18" fillId="0" borderId="0" xfId="0" applyFont="1"/>
    <xf numFmtId="2" fontId="0" fillId="0" borderId="0" xfId="0" applyNumberFormat="1"/>
    <xf numFmtId="0" fontId="8" fillId="0" borderId="2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2" fontId="10" fillId="5" borderId="29" xfId="0" applyNumberFormat="1" applyFont="1" applyFill="1" applyBorder="1" applyAlignment="1">
      <alignment vertical="center"/>
    </xf>
    <xf numFmtId="1" fontId="14" fillId="5" borderId="29" xfId="0" applyNumberFormat="1" applyFont="1" applyFill="1" applyBorder="1" applyAlignment="1">
      <alignment vertical="center"/>
    </xf>
    <xf numFmtId="1" fontId="14" fillId="5" borderId="29" xfId="0" applyNumberFormat="1" applyFont="1" applyFill="1" applyBorder="1" applyAlignment="1">
      <alignment horizontal="right" vertical="center"/>
    </xf>
    <xf numFmtId="1" fontId="15" fillId="5" borderId="29" xfId="0" applyNumberFormat="1" applyFont="1" applyFill="1" applyBorder="1" applyAlignment="1">
      <alignment vertical="center"/>
    </xf>
    <xf numFmtId="2" fontId="15" fillId="5" borderId="29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2" fontId="14" fillId="5" borderId="1" xfId="0" applyNumberFormat="1" applyFont="1" applyFill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left" vertical="center" wrapText="1"/>
    </xf>
    <xf numFmtId="0" fontId="8" fillId="3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/>
    </xf>
    <xf numFmtId="1" fontId="14" fillId="5" borderId="36" xfId="0" applyNumberFormat="1" applyFont="1" applyFill="1" applyBorder="1" applyAlignment="1">
      <alignment vertical="center"/>
    </xf>
    <xf numFmtId="0" fontId="14" fillId="5" borderId="36" xfId="0" applyFont="1" applyFill="1" applyBorder="1" applyAlignment="1">
      <alignment vertical="center"/>
    </xf>
    <xf numFmtId="2" fontId="11" fillId="5" borderId="29" xfId="0" applyNumberFormat="1" applyFont="1" applyFill="1" applyBorder="1" applyAlignment="1">
      <alignment vertical="center"/>
    </xf>
    <xf numFmtId="2" fontId="11" fillId="5" borderId="1" xfId="0" applyNumberFormat="1" applyFont="1" applyFill="1" applyBorder="1" applyAlignment="1">
      <alignment vertical="center"/>
    </xf>
    <xf numFmtId="1" fontId="10" fillId="5" borderId="1" xfId="0" applyNumberFormat="1" applyFont="1" applyFill="1" applyBorder="1" applyAlignment="1">
      <alignment horizontal="right" vertical="center"/>
    </xf>
    <xf numFmtId="1" fontId="10" fillId="5" borderId="1" xfId="0" applyNumberFormat="1" applyFont="1" applyFill="1" applyBorder="1" applyAlignment="1">
      <alignment horizontal="center" vertical="center"/>
    </xf>
    <xf numFmtId="1" fontId="11" fillId="5" borderId="1" xfId="0" applyNumberFormat="1" applyFont="1" applyFill="1" applyBorder="1" applyAlignment="1">
      <alignment horizontal="right" vertical="center"/>
    </xf>
    <xf numFmtId="2" fontId="10" fillId="8" borderId="1" xfId="0" applyNumberFormat="1" applyFont="1" applyFill="1" applyBorder="1" applyAlignment="1">
      <alignment horizontal="center" vertical="center"/>
    </xf>
    <xf numFmtId="0" fontId="9" fillId="0" borderId="35" xfId="0" applyFont="1" applyBorder="1" applyAlignment="1">
      <alignment horizontal="center" vertical="center" wrapText="1"/>
    </xf>
    <xf numFmtId="0" fontId="10" fillId="2" borderId="40" xfId="0" applyFont="1" applyFill="1" applyBorder="1" applyAlignment="1">
      <alignment vertical="center"/>
    </xf>
    <xf numFmtId="0" fontId="10" fillId="5" borderId="40" xfId="0" applyFont="1" applyFill="1" applyBorder="1" applyAlignment="1">
      <alignment vertical="center"/>
    </xf>
    <xf numFmtId="2" fontId="11" fillId="5" borderId="40" xfId="0" applyNumberFormat="1" applyFont="1" applyFill="1" applyBorder="1" applyAlignment="1">
      <alignment horizontal="right" vertical="center"/>
    </xf>
    <xf numFmtId="0" fontId="10" fillId="6" borderId="40" xfId="0" applyFont="1" applyFill="1" applyBorder="1" applyAlignment="1">
      <alignment vertical="center"/>
    </xf>
    <xf numFmtId="0" fontId="11" fillId="6" borderId="40" xfId="0" applyFont="1" applyFill="1" applyBorder="1" applyAlignment="1">
      <alignment vertical="center"/>
    </xf>
    <xf numFmtId="0" fontId="11" fillId="3" borderId="40" xfId="0" applyFont="1" applyFill="1" applyBorder="1" applyAlignment="1">
      <alignment vertical="center"/>
    </xf>
    <xf numFmtId="0" fontId="11" fillId="5" borderId="40" xfId="0" applyFont="1" applyFill="1" applyBorder="1" applyAlignment="1">
      <alignment vertical="center"/>
    </xf>
    <xf numFmtId="0" fontId="10" fillId="5" borderId="34" xfId="0" applyFont="1" applyFill="1" applyBorder="1" applyAlignment="1">
      <alignment vertical="center"/>
    </xf>
    <xf numFmtId="0" fontId="9" fillId="0" borderId="41" xfId="0" applyFont="1" applyBorder="1" applyAlignment="1">
      <alignment horizontal="center" vertical="center" wrapText="1"/>
    </xf>
    <xf numFmtId="0" fontId="10" fillId="2" borderId="36" xfId="0" applyFont="1" applyFill="1" applyBorder="1" applyAlignment="1">
      <alignment vertical="center"/>
    </xf>
    <xf numFmtId="0" fontId="10" fillId="5" borderId="36" xfId="0" applyFont="1" applyFill="1" applyBorder="1" applyAlignment="1">
      <alignment vertical="center"/>
    </xf>
    <xf numFmtId="0" fontId="9" fillId="0" borderId="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0" fillId="2" borderId="3" xfId="0" applyFont="1" applyFill="1" applyBorder="1" applyAlignment="1">
      <alignment vertical="center"/>
    </xf>
    <xf numFmtId="2" fontId="10" fillId="2" borderId="4" xfId="0" applyNumberFormat="1" applyFont="1" applyFill="1" applyBorder="1" applyAlignment="1">
      <alignment horizontal="center" vertical="center"/>
    </xf>
    <xf numFmtId="2" fontId="11" fillId="5" borderId="4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2" fontId="10" fillId="5" borderId="6" xfId="0" applyNumberFormat="1" applyFont="1" applyFill="1" applyBorder="1" applyAlignment="1">
      <alignment horizontal="center" vertical="center"/>
    </xf>
    <xf numFmtId="2" fontId="15" fillId="5" borderId="7" xfId="0" applyNumberFormat="1" applyFont="1" applyFill="1" applyBorder="1" applyAlignment="1">
      <alignment horizontal="center" vertical="center"/>
    </xf>
    <xf numFmtId="2" fontId="11" fillId="8" borderId="4" xfId="0" applyNumberFormat="1" applyFont="1" applyFill="1" applyBorder="1" applyAlignment="1">
      <alignment vertical="center"/>
    </xf>
    <xf numFmtId="0" fontId="10" fillId="5" borderId="27" xfId="0" applyFont="1" applyFill="1" applyBorder="1" applyAlignment="1">
      <alignment vertical="center"/>
    </xf>
    <xf numFmtId="165" fontId="10" fillId="5" borderId="4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vertical="center"/>
    </xf>
    <xf numFmtId="165" fontId="11" fillId="9" borderId="4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vertical="center"/>
    </xf>
    <xf numFmtId="165" fontId="10" fillId="5" borderId="4" xfId="0" applyNumberFormat="1" applyFont="1" applyFill="1" applyBorder="1" applyAlignment="1">
      <alignment vertical="center"/>
    </xf>
    <xf numFmtId="2" fontId="11" fillId="10" borderId="4" xfId="0" applyNumberFormat="1" applyFont="1" applyFill="1" applyBorder="1" applyAlignment="1">
      <alignment vertical="center"/>
    </xf>
    <xf numFmtId="165" fontId="11" fillId="5" borderId="4" xfId="0" applyNumberFormat="1" applyFont="1" applyFill="1" applyBorder="1" applyAlignment="1">
      <alignment vertical="center"/>
    </xf>
    <xf numFmtId="165" fontId="11" fillId="4" borderId="4" xfId="0" applyNumberFormat="1" applyFont="1" applyFill="1" applyBorder="1" applyAlignment="1">
      <alignment vertical="center"/>
    </xf>
    <xf numFmtId="165" fontId="11" fillId="3" borderId="4" xfId="0" applyNumberFormat="1" applyFont="1" applyFill="1" applyBorder="1" applyAlignment="1">
      <alignment vertical="center"/>
    </xf>
    <xf numFmtId="2" fontId="10" fillId="5" borderId="6" xfId="0" applyNumberFormat="1" applyFont="1" applyFill="1" applyBorder="1" applyAlignment="1">
      <alignment vertical="center"/>
    </xf>
    <xf numFmtId="1" fontId="10" fillId="5" borderId="6" xfId="0" applyNumberFormat="1" applyFont="1" applyFill="1" applyBorder="1" applyAlignment="1">
      <alignment horizontal="right" vertical="center"/>
    </xf>
    <xf numFmtId="165" fontId="10" fillId="5" borderId="7" xfId="0" applyNumberFormat="1" applyFont="1" applyFill="1" applyBorder="1" applyAlignment="1">
      <alignment vertical="center"/>
    </xf>
    <xf numFmtId="1" fontId="10" fillId="2" borderId="36" xfId="0" applyNumberFormat="1" applyFont="1" applyFill="1" applyBorder="1" applyAlignment="1">
      <alignment vertical="center"/>
    </xf>
    <xf numFmtId="0" fontId="14" fillId="6" borderId="36" xfId="0" applyFont="1" applyFill="1" applyBorder="1" applyAlignment="1">
      <alignment vertical="center"/>
    </xf>
    <xf numFmtId="1" fontId="14" fillId="6" borderId="36" xfId="0" applyNumberFormat="1" applyFont="1" applyFill="1" applyBorder="1" applyAlignment="1">
      <alignment vertical="center"/>
    </xf>
    <xf numFmtId="0" fontId="15" fillId="5" borderId="36" xfId="0" applyFont="1" applyFill="1" applyBorder="1" applyAlignment="1">
      <alignment vertical="center"/>
    </xf>
    <xf numFmtId="1" fontId="15" fillId="5" borderId="36" xfId="0" applyNumberFormat="1" applyFont="1" applyFill="1" applyBorder="1" applyAlignment="1">
      <alignment vertical="center"/>
    </xf>
    <xf numFmtId="0" fontId="14" fillId="2" borderId="36" xfId="0" applyFont="1" applyFill="1" applyBorder="1" applyAlignment="1">
      <alignment vertical="center"/>
    </xf>
    <xf numFmtId="1" fontId="14" fillId="2" borderId="36" xfId="0" applyNumberFormat="1" applyFont="1" applyFill="1" applyBorder="1" applyAlignment="1">
      <alignment vertical="center"/>
    </xf>
    <xf numFmtId="1" fontId="14" fillId="5" borderId="42" xfId="0" applyNumberFormat="1" applyFont="1" applyFill="1" applyBorder="1" applyAlignment="1">
      <alignment vertical="center"/>
    </xf>
    <xf numFmtId="0" fontId="9" fillId="3" borderId="10" xfId="0" applyFont="1" applyFill="1" applyBorder="1" applyAlignment="1">
      <alignment horizontal="center" vertical="center" wrapText="1"/>
    </xf>
    <xf numFmtId="2" fontId="10" fillId="3" borderId="4" xfId="0" applyNumberFormat="1" applyFont="1" applyFill="1" applyBorder="1" applyAlignment="1">
      <alignment horizontal="center" vertical="center"/>
    </xf>
    <xf numFmtId="2" fontId="11" fillId="3" borderId="4" xfId="0" applyNumberFormat="1" applyFont="1" applyFill="1" applyBorder="1" applyAlignment="1">
      <alignment horizontal="center" vertical="center"/>
    </xf>
    <xf numFmtId="0" fontId="10" fillId="5" borderId="25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/>
    </xf>
    <xf numFmtId="0" fontId="10" fillId="5" borderId="29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2" fontId="14" fillId="3" borderId="30" xfId="0" applyNumberFormat="1" applyFont="1" applyFill="1" applyBorder="1" applyAlignment="1">
      <alignment horizontal="center" vertical="center"/>
    </xf>
    <xf numFmtId="2" fontId="14" fillId="3" borderId="31" xfId="0" applyNumberFormat="1" applyFont="1" applyFill="1" applyBorder="1" applyAlignment="1">
      <alignment horizontal="center" vertical="center"/>
    </xf>
    <xf numFmtId="2" fontId="14" fillId="3" borderId="10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65" fontId="10" fillId="5" borderId="29" xfId="0" applyNumberFormat="1" applyFont="1" applyFill="1" applyBorder="1" applyAlignment="1">
      <alignment horizontal="right" vertical="center"/>
    </xf>
    <xf numFmtId="165" fontId="10" fillId="5" borderId="14" xfId="0" applyNumberFormat="1" applyFont="1" applyFill="1" applyBorder="1" applyAlignment="1">
      <alignment horizontal="right" vertical="center"/>
    </xf>
    <xf numFmtId="165" fontId="10" fillId="5" borderId="30" xfId="0" applyNumberFormat="1" applyFont="1" applyFill="1" applyBorder="1" applyAlignment="1">
      <alignment horizontal="center" vertical="center"/>
    </xf>
    <xf numFmtId="165" fontId="10" fillId="5" borderId="10" xfId="0" applyNumberFormat="1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2" fontId="10" fillId="5" borderId="29" xfId="0" applyNumberFormat="1" applyFont="1" applyFill="1" applyBorder="1" applyAlignment="1">
      <alignment horizontal="center" vertical="center"/>
    </xf>
    <xf numFmtId="2" fontId="10" fillId="5" borderId="14" xfId="0" applyNumberFormat="1" applyFont="1" applyFill="1" applyBorder="1" applyAlignment="1">
      <alignment horizontal="center" vertical="center"/>
    </xf>
    <xf numFmtId="2" fontId="10" fillId="5" borderId="9" xfId="0" applyNumberFormat="1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2" fontId="10" fillId="2" borderId="29" xfId="0" applyNumberFormat="1" applyFont="1" applyFill="1" applyBorder="1" applyAlignment="1">
      <alignment horizontal="center" vertical="center"/>
    </xf>
    <xf numFmtId="2" fontId="10" fillId="2" borderId="14" xfId="0" applyNumberFormat="1" applyFont="1" applyFill="1" applyBorder="1" applyAlignment="1">
      <alignment horizontal="center" vertical="center"/>
    </xf>
    <xf numFmtId="2" fontId="10" fillId="2" borderId="9" xfId="0" applyNumberFormat="1" applyFont="1" applyFill="1" applyBorder="1" applyAlignment="1">
      <alignment horizontal="center" vertical="center"/>
    </xf>
    <xf numFmtId="2" fontId="14" fillId="2" borderId="30" xfId="0" applyNumberFormat="1" applyFont="1" applyFill="1" applyBorder="1" applyAlignment="1">
      <alignment horizontal="center" vertical="center"/>
    </xf>
    <xf numFmtId="2" fontId="14" fillId="2" borderId="31" xfId="0" applyNumberFormat="1" applyFont="1" applyFill="1" applyBorder="1" applyAlignment="1">
      <alignment horizontal="center" vertical="center"/>
    </xf>
    <xf numFmtId="2" fontId="14" fillId="2" borderId="10" xfId="0" applyNumberFormat="1" applyFont="1" applyFill="1" applyBorder="1" applyAlignment="1">
      <alignment horizontal="center" vertical="center"/>
    </xf>
    <xf numFmtId="2" fontId="14" fillId="5" borderId="30" xfId="0" applyNumberFormat="1" applyFont="1" applyFill="1" applyBorder="1" applyAlignment="1">
      <alignment horizontal="center" vertical="center"/>
    </xf>
    <xf numFmtId="2" fontId="14" fillId="5" borderId="31" xfId="0" applyNumberFormat="1" applyFont="1" applyFill="1" applyBorder="1" applyAlignment="1">
      <alignment horizontal="center" vertical="center"/>
    </xf>
    <xf numFmtId="2" fontId="14" fillId="5" borderId="10" xfId="0" applyNumberFormat="1" applyFont="1" applyFill="1" applyBorder="1" applyAlignment="1">
      <alignment horizontal="center" vertical="center"/>
    </xf>
    <xf numFmtId="17" fontId="8" fillId="3" borderId="11" xfId="0" applyNumberFormat="1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/>
    </xf>
    <xf numFmtId="164" fontId="10" fillId="5" borderId="29" xfId="0" applyNumberFormat="1" applyFont="1" applyFill="1" applyBorder="1" applyAlignment="1">
      <alignment horizontal="center" vertical="center"/>
    </xf>
    <xf numFmtId="164" fontId="10" fillId="5" borderId="14" xfId="0" applyNumberFormat="1" applyFont="1" applyFill="1" applyBorder="1" applyAlignment="1">
      <alignment horizontal="center" vertical="center"/>
    </xf>
    <xf numFmtId="164" fontId="10" fillId="5" borderId="9" xfId="0" applyNumberFormat="1" applyFont="1" applyFill="1" applyBorder="1" applyAlignment="1">
      <alignment horizontal="center" vertical="center"/>
    </xf>
    <xf numFmtId="2" fontId="11" fillId="3" borderId="30" xfId="0" applyNumberFormat="1" applyFont="1" applyFill="1" applyBorder="1" applyAlignment="1">
      <alignment horizontal="center" vertical="center"/>
    </xf>
    <xf numFmtId="2" fontId="11" fillId="3" borderId="31" xfId="0" applyNumberFormat="1" applyFont="1" applyFill="1" applyBorder="1" applyAlignment="1">
      <alignment horizontal="center" vertical="center"/>
    </xf>
    <xf numFmtId="2" fontId="11" fillId="3" borderId="10" xfId="0" applyNumberFormat="1" applyFont="1" applyFill="1" applyBorder="1" applyAlignment="1">
      <alignment horizontal="center" vertical="center"/>
    </xf>
    <xf numFmtId="2" fontId="14" fillId="3" borderId="4" xfId="0" applyNumberFormat="1" applyFont="1" applyFill="1" applyBorder="1" applyAlignment="1">
      <alignment horizontal="center" vertical="center"/>
    </xf>
    <xf numFmtId="0" fontId="10" fillId="6" borderId="25" xfId="0" applyFont="1" applyFill="1" applyBorder="1" applyAlignment="1">
      <alignment horizontal="center" vertical="center"/>
    </xf>
    <xf numFmtId="0" fontId="10" fillId="6" borderId="27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29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2" fontId="11" fillId="5" borderId="30" xfId="0" applyNumberFormat="1" applyFont="1" applyFill="1" applyBorder="1" applyAlignment="1">
      <alignment horizontal="center" vertical="center"/>
    </xf>
    <xf numFmtId="2" fontId="11" fillId="5" borderId="31" xfId="0" applyNumberFormat="1" applyFont="1" applyFill="1" applyBorder="1" applyAlignment="1">
      <alignment horizontal="center" vertical="center"/>
    </xf>
    <xf numFmtId="2" fontId="11" fillId="5" borderId="10" xfId="0" applyNumberFormat="1" applyFont="1" applyFill="1" applyBorder="1" applyAlignment="1">
      <alignment horizontal="center" vertical="center"/>
    </xf>
    <xf numFmtId="2" fontId="14" fillId="5" borderId="4" xfId="0" applyNumberFormat="1" applyFont="1" applyFill="1" applyBorder="1" applyAlignment="1">
      <alignment horizontal="center" vertical="center"/>
    </xf>
    <xf numFmtId="2" fontId="14" fillId="6" borderId="30" xfId="0" applyNumberFormat="1" applyFont="1" applyFill="1" applyBorder="1" applyAlignment="1">
      <alignment horizontal="center" vertical="center"/>
    </xf>
    <xf numFmtId="2" fontId="14" fillId="6" borderId="31" xfId="0" applyNumberFormat="1" applyFont="1" applyFill="1" applyBorder="1" applyAlignment="1">
      <alignment horizontal="center" vertical="center"/>
    </xf>
    <xf numFmtId="2" fontId="14" fillId="6" borderId="10" xfId="0" applyNumberFormat="1" applyFont="1" applyFill="1" applyBorder="1" applyAlignment="1">
      <alignment horizontal="center" vertical="center"/>
    </xf>
    <xf numFmtId="0" fontId="11" fillId="6" borderId="29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0" fontId="10" fillId="9" borderId="14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3" fillId="0" borderId="37" xfId="0" applyFont="1" applyBorder="1" applyAlignment="1">
      <alignment horizontal="left" wrapText="1"/>
    </xf>
    <xf numFmtId="0" fontId="3" fillId="0" borderId="32" xfId="0" applyFont="1" applyBorder="1" applyAlignment="1">
      <alignment horizontal="left" wrapText="1"/>
    </xf>
    <xf numFmtId="0" fontId="3" fillId="0" borderId="38" xfId="0" applyFont="1" applyBorder="1" applyAlignment="1">
      <alignment horizontal="left" wrapText="1"/>
    </xf>
    <xf numFmtId="0" fontId="3" fillId="0" borderId="15" xfId="0" applyFont="1" applyBorder="1" applyAlignment="1">
      <alignment horizontal="left" wrapText="1"/>
    </xf>
    <xf numFmtId="0" fontId="3" fillId="0" borderId="16" xfId="0" applyFont="1" applyBorder="1" applyAlignment="1">
      <alignment horizontal="left" wrapText="1"/>
    </xf>
    <xf numFmtId="0" fontId="3" fillId="0" borderId="17" xfId="0" applyFont="1" applyBorder="1" applyAlignment="1">
      <alignment horizontal="left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2" fontId="14" fillId="2" borderId="29" xfId="0" applyNumberFormat="1" applyFont="1" applyFill="1" applyBorder="1" applyAlignment="1">
      <alignment horizontal="center" vertical="center" wrapText="1"/>
    </xf>
    <xf numFmtId="2" fontId="14" fillId="2" borderId="14" xfId="0" applyNumberFormat="1" applyFont="1" applyFill="1" applyBorder="1" applyAlignment="1">
      <alignment horizontal="center" vertical="center" wrapText="1"/>
    </xf>
    <xf numFmtId="2" fontId="14" fillId="2" borderId="9" xfId="0" applyNumberFormat="1" applyFont="1" applyFill="1" applyBorder="1" applyAlignment="1">
      <alignment horizontal="center" vertical="center" wrapText="1"/>
    </xf>
    <xf numFmtId="2" fontId="12" fillId="2" borderId="24" xfId="0" applyNumberFormat="1" applyFont="1" applyFill="1" applyBorder="1" applyAlignment="1">
      <alignment horizontal="center" vertical="center" wrapText="1"/>
    </xf>
    <xf numFmtId="2" fontId="12" fillId="2" borderId="26" xfId="0" applyNumberFormat="1" applyFont="1" applyFill="1" applyBorder="1" applyAlignment="1">
      <alignment horizontal="center" vertical="center" wrapText="1"/>
    </xf>
    <xf numFmtId="2" fontId="12" fillId="2" borderId="28" xfId="0" applyNumberFormat="1" applyFont="1" applyFill="1" applyBorder="1" applyAlignment="1">
      <alignment horizontal="center" vertical="center" wrapText="1"/>
    </xf>
    <xf numFmtId="0" fontId="6" fillId="5" borderId="25" xfId="0" applyFont="1" applyFill="1" applyBorder="1" applyAlignment="1">
      <alignment horizontal="center" vertical="center" wrapText="1"/>
    </xf>
    <xf numFmtId="0" fontId="6" fillId="5" borderId="27" xfId="0" applyFont="1" applyFill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2" fontId="14" fillId="5" borderId="29" xfId="0" applyNumberFormat="1" applyFont="1" applyFill="1" applyBorder="1" applyAlignment="1">
      <alignment horizontal="center" vertical="center" wrapText="1"/>
    </xf>
    <xf numFmtId="2" fontId="14" fillId="5" borderId="14" xfId="0" applyNumberFormat="1" applyFont="1" applyFill="1" applyBorder="1" applyAlignment="1">
      <alignment horizontal="center" vertical="center" wrapText="1"/>
    </xf>
    <xf numFmtId="2" fontId="14" fillId="5" borderId="29" xfId="0" applyNumberFormat="1" applyFont="1" applyFill="1" applyBorder="1" applyAlignment="1">
      <alignment horizontal="center" vertical="center"/>
    </xf>
    <xf numFmtId="2" fontId="14" fillId="5" borderId="14" xfId="0" applyNumberFormat="1" applyFont="1" applyFill="1" applyBorder="1" applyAlignment="1">
      <alignment horizontal="center" vertical="center"/>
    </xf>
    <xf numFmtId="2" fontId="12" fillId="0" borderId="30" xfId="0" applyNumberFormat="1" applyFont="1" applyBorder="1" applyAlignment="1">
      <alignment horizontal="left" vertical="center" wrapText="1"/>
    </xf>
    <xf numFmtId="2" fontId="12" fillId="0" borderId="31" xfId="0" applyNumberFormat="1" applyFont="1" applyBorder="1" applyAlignment="1">
      <alignment horizontal="left" vertical="center" wrapText="1"/>
    </xf>
    <xf numFmtId="0" fontId="11" fillId="2" borderId="29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2" fontId="14" fillId="6" borderId="29" xfId="0" applyNumberFormat="1" applyFont="1" applyFill="1" applyBorder="1" applyAlignment="1">
      <alignment horizontal="center" vertical="center"/>
    </xf>
    <xf numFmtId="2" fontId="14" fillId="6" borderId="14" xfId="0" applyNumberFormat="1" applyFont="1" applyFill="1" applyBorder="1" applyAlignment="1">
      <alignment horizontal="center" vertical="center"/>
    </xf>
    <xf numFmtId="2" fontId="14" fillId="6" borderId="9" xfId="0" applyNumberFormat="1" applyFont="1" applyFill="1" applyBorder="1" applyAlignment="1">
      <alignment horizontal="center" vertical="center"/>
    </xf>
    <xf numFmtId="2" fontId="14" fillId="7" borderId="1" xfId="0" applyNumberFormat="1" applyFont="1" applyFill="1" applyBorder="1" applyAlignment="1">
      <alignment horizontal="center" vertical="center"/>
    </xf>
    <xf numFmtId="2" fontId="12" fillId="0" borderId="24" xfId="0" applyNumberFormat="1" applyFont="1" applyBorder="1" applyAlignment="1">
      <alignment horizontal="center" vertical="center" wrapText="1"/>
    </xf>
    <xf numFmtId="2" fontId="12" fillId="0" borderId="26" xfId="0" applyNumberFormat="1" applyFont="1" applyBorder="1" applyAlignment="1">
      <alignment horizontal="center" vertical="center" wrapText="1"/>
    </xf>
    <xf numFmtId="2" fontId="12" fillId="0" borderId="28" xfId="0" applyNumberFormat="1" applyFont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2" fontId="14" fillId="5" borderId="9" xfId="0" applyNumberFormat="1" applyFont="1" applyFill="1" applyBorder="1" applyAlignment="1">
      <alignment horizontal="center" vertical="center" wrapText="1"/>
    </xf>
    <xf numFmtId="2" fontId="14" fillId="5" borderId="9" xfId="0" applyNumberFormat="1" applyFont="1" applyFill="1" applyBorder="1" applyAlignment="1">
      <alignment horizontal="center" vertical="center"/>
    </xf>
    <xf numFmtId="0" fontId="11" fillId="5" borderId="29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2" fontId="10" fillId="6" borderId="29" xfId="0" applyNumberFormat="1" applyFont="1" applyFill="1" applyBorder="1" applyAlignment="1">
      <alignment horizontal="center" vertical="center"/>
    </xf>
    <xf numFmtId="2" fontId="10" fillId="6" borderId="14" xfId="0" applyNumberFormat="1" applyFont="1" applyFill="1" applyBorder="1" applyAlignment="1">
      <alignment horizontal="center" vertical="center"/>
    </xf>
    <xf numFmtId="2" fontId="10" fillId="6" borderId="9" xfId="0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6" fillId="5" borderId="25" xfId="0" applyFont="1" applyFill="1" applyBorder="1" applyAlignment="1">
      <alignment horizontal="center" vertical="center"/>
    </xf>
    <xf numFmtId="0" fontId="6" fillId="5" borderId="2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2" fontId="14" fillId="5" borderId="1" xfId="0" applyNumberFormat="1" applyFont="1" applyFill="1" applyBorder="1" applyAlignment="1">
      <alignment horizontal="center" vertical="center"/>
    </xf>
    <xf numFmtId="2" fontId="12" fillId="5" borderId="24" xfId="0" applyNumberFormat="1" applyFont="1" applyFill="1" applyBorder="1" applyAlignment="1">
      <alignment horizontal="center" vertical="center" wrapText="1"/>
    </xf>
    <xf numFmtId="2" fontId="12" fillId="5" borderId="26" xfId="0" applyNumberFormat="1" applyFont="1" applyFill="1" applyBorder="1" applyAlignment="1">
      <alignment horizontal="center" vertical="center" wrapText="1"/>
    </xf>
    <xf numFmtId="2" fontId="12" fillId="5" borderId="28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 wrapText="1" readingOrder="1"/>
    </xf>
    <xf numFmtId="0" fontId="0" fillId="4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5124-DC8E-4D0C-B23B-27482FA4C9D1}">
  <dimension ref="A1:H20"/>
  <sheetViews>
    <sheetView tabSelected="1" view="pageBreakPreview" zoomScale="60" zoomScaleNormal="100" workbookViewId="0">
      <selection activeCell="B3" sqref="B3:H20"/>
    </sheetView>
  </sheetViews>
  <sheetFormatPr defaultRowHeight="15" x14ac:dyDescent="0.25"/>
  <cols>
    <col min="1" max="1" width="26.5703125" customWidth="1"/>
    <col min="2" max="2" width="18" customWidth="1"/>
    <col min="3" max="3" width="19.85546875" customWidth="1"/>
    <col min="4" max="4" width="17.28515625" customWidth="1"/>
    <col min="5" max="5" width="19.42578125" customWidth="1"/>
    <col min="6" max="6" width="18.42578125" customWidth="1"/>
    <col min="7" max="7" width="18.28515625" customWidth="1"/>
    <col min="8" max="8" width="20.28515625" customWidth="1"/>
  </cols>
  <sheetData>
    <row r="1" spans="1:8" ht="15.75" customHeight="1" x14ac:dyDescent="0.25">
      <c r="A1" s="285" t="s">
        <v>18</v>
      </c>
      <c r="B1" s="285"/>
      <c r="C1" s="285"/>
      <c r="D1" s="285"/>
      <c r="E1" s="285"/>
      <c r="F1" s="285"/>
      <c r="G1" s="285"/>
      <c r="H1" s="285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2" t="s">
        <v>22</v>
      </c>
      <c r="H2" s="2" t="s">
        <v>23</v>
      </c>
    </row>
    <row r="3" spans="1:8" ht="31.5" customHeight="1" x14ac:dyDescent="0.25">
      <c r="A3" s="3" t="s">
        <v>6</v>
      </c>
      <c r="B3" s="286">
        <v>3.653</v>
      </c>
      <c r="C3" s="286">
        <v>3.24</v>
      </c>
      <c r="D3" s="286">
        <v>3.431</v>
      </c>
      <c r="E3" s="286">
        <v>3.5379999999999998</v>
      </c>
      <c r="F3" s="286">
        <v>3.3140000000000001</v>
      </c>
      <c r="G3" s="287"/>
      <c r="H3" s="287">
        <v>3.3650000000000002</v>
      </c>
    </row>
    <row r="4" spans="1:8" x14ac:dyDescent="0.25">
      <c r="A4" s="3" t="s">
        <v>7</v>
      </c>
      <c r="B4" s="286">
        <v>4.1609999999999996</v>
      </c>
      <c r="C4" s="286">
        <v>3.9580000000000002</v>
      </c>
      <c r="D4" s="286">
        <v>3.8370000000000002</v>
      </c>
      <c r="E4" s="286">
        <v>3.7290000000000001</v>
      </c>
      <c r="F4" s="286">
        <v>3.6909999999999998</v>
      </c>
      <c r="G4" s="287"/>
      <c r="H4" s="287">
        <v>3.7829999999999999</v>
      </c>
    </row>
    <row r="5" spans="1:8" x14ac:dyDescent="0.25">
      <c r="A5" s="3" t="s">
        <v>8</v>
      </c>
      <c r="B5" s="286">
        <v>6.0629999999999997</v>
      </c>
      <c r="C5" s="286">
        <v>5.8220000000000001</v>
      </c>
      <c r="D5" s="286">
        <v>5.7080000000000002</v>
      </c>
      <c r="E5" s="286">
        <v>5.6920000000000002</v>
      </c>
      <c r="F5" s="286">
        <v>5.6920000000000002</v>
      </c>
      <c r="G5" s="287"/>
      <c r="H5" s="287">
        <v>5.569</v>
      </c>
    </row>
    <row r="6" spans="1:8" x14ac:dyDescent="0.25">
      <c r="A6" s="3" t="s">
        <v>9</v>
      </c>
      <c r="B6" s="286">
        <v>4.593</v>
      </c>
      <c r="C6" s="286">
        <v>4.5759999999999996</v>
      </c>
      <c r="D6" s="286">
        <v>4.5259999999999998</v>
      </c>
      <c r="E6" s="286">
        <v>4.3369999999999997</v>
      </c>
      <c r="F6" s="286">
        <v>4.3499999999999996</v>
      </c>
      <c r="G6" s="287"/>
      <c r="H6" s="287">
        <v>4.1740000000000004</v>
      </c>
    </row>
    <row r="7" spans="1:8" x14ac:dyDescent="0.25">
      <c r="A7" s="3" t="s">
        <v>10</v>
      </c>
      <c r="B7" s="286">
        <v>4.1369999999999996</v>
      </c>
      <c r="C7" s="286">
        <v>4.1379999999999999</v>
      </c>
      <c r="D7" s="286">
        <v>4.0940000000000003</v>
      </c>
      <c r="E7" s="286">
        <v>3.9289999999999998</v>
      </c>
      <c r="F7" s="286">
        <v>4.0970000000000004</v>
      </c>
      <c r="G7" s="287"/>
      <c r="H7" s="287">
        <v>3.9780000000000002</v>
      </c>
    </row>
    <row r="8" spans="1:8" x14ac:dyDescent="0.25">
      <c r="A8" s="3" t="s">
        <v>11</v>
      </c>
      <c r="B8" s="286">
        <v>4.6230000000000002</v>
      </c>
      <c r="C8" s="286">
        <v>4.8029999999999999</v>
      </c>
      <c r="D8" s="286">
        <v>4.8029999999999999</v>
      </c>
      <c r="E8" s="286">
        <v>4.6630000000000003</v>
      </c>
      <c r="F8" s="286">
        <v>4.6440000000000001</v>
      </c>
      <c r="G8" s="287"/>
      <c r="H8" s="287">
        <v>4.3869999999999996</v>
      </c>
    </row>
    <row r="9" spans="1:8" x14ac:dyDescent="0.25">
      <c r="A9" s="1" t="s">
        <v>12</v>
      </c>
      <c r="B9" s="288">
        <v>3.629</v>
      </c>
      <c r="C9" s="288">
        <v>3.629</v>
      </c>
      <c r="D9" s="288">
        <v>3.7109999999999999</v>
      </c>
      <c r="E9" s="288">
        <v>3.3149999999999999</v>
      </c>
      <c r="F9" s="288">
        <v>3.3839999999999999</v>
      </c>
      <c r="G9" s="289"/>
      <c r="H9" s="289">
        <v>3.3839999999999999</v>
      </c>
    </row>
    <row r="10" spans="1:8" x14ac:dyDescent="0.25">
      <c r="A10" s="1" t="s">
        <v>13</v>
      </c>
      <c r="B10" s="288">
        <v>2.819</v>
      </c>
      <c r="C10" s="288">
        <v>2.8639999999999999</v>
      </c>
      <c r="D10" s="288">
        <v>3.4279999999999999</v>
      </c>
      <c r="E10" s="288">
        <v>3.2879999999999998</v>
      </c>
      <c r="F10" s="288">
        <v>2.968</v>
      </c>
      <c r="G10" s="289"/>
      <c r="H10" s="289">
        <v>2.8109999999999999</v>
      </c>
    </row>
    <row r="11" spans="1:8" x14ac:dyDescent="0.25">
      <c r="A11" s="1" t="s">
        <v>14</v>
      </c>
      <c r="B11" s="288">
        <v>3.2440000000000002</v>
      </c>
      <c r="C11" s="288">
        <v>3.2069999999999999</v>
      </c>
      <c r="D11" s="288">
        <v>3.1850000000000001</v>
      </c>
      <c r="E11" s="288">
        <v>3.0630000000000002</v>
      </c>
      <c r="F11" s="288">
        <v>3.0329999999999999</v>
      </c>
      <c r="G11" s="289"/>
      <c r="H11" s="289">
        <v>2.9660000000000002</v>
      </c>
    </row>
    <row r="12" spans="1:8" x14ac:dyDescent="0.25">
      <c r="A12" s="1" t="s">
        <v>15</v>
      </c>
      <c r="B12" s="288">
        <v>3.5659999999999998</v>
      </c>
      <c r="C12" s="288">
        <v>3.419</v>
      </c>
      <c r="D12" s="288">
        <v>3.3039999999999998</v>
      </c>
      <c r="E12" s="288">
        <v>3.3069999999999999</v>
      </c>
      <c r="F12" s="288">
        <v>3.3929999999999998</v>
      </c>
      <c r="G12" s="289"/>
      <c r="H12" s="289">
        <v>3.3820000000000001</v>
      </c>
    </row>
    <row r="13" spans="1:8" x14ac:dyDescent="0.25">
      <c r="A13" s="1" t="s">
        <v>16</v>
      </c>
      <c r="B13" s="288">
        <v>3.895</v>
      </c>
      <c r="C13" s="288">
        <v>3.323</v>
      </c>
      <c r="D13" s="288">
        <v>3.431</v>
      </c>
      <c r="E13" s="288">
        <v>3.5110000000000001</v>
      </c>
      <c r="F13" s="288">
        <v>3.5179999999999998</v>
      </c>
      <c r="G13" s="289"/>
      <c r="H13" s="289">
        <v>3.496</v>
      </c>
    </row>
    <row r="14" spans="1:8" x14ac:dyDescent="0.25">
      <c r="A14" s="1" t="s">
        <v>17</v>
      </c>
      <c r="B14" s="288">
        <v>4.1040000000000001</v>
      </c>
      <c r="C14" s="288">
        <v>3.5579999999999998</v>
      </c>
      <c r="D14" s="288">
        <v>3.7160000000000002</v>
      </c>
      <c r="E14" s="288">
        <v>3.702</v>
      </c>
      <c r="F14" s="288">
        <v>3.7440000000000002</v>
      </c>
      <c r="G14" s="289"/>
      <c r="H14" s="289">
        <v>3.7250000000000001</v>
      </c>
    </row>
    <row r="15" spans="1:8" x14ac:dyDescent="0.25">
      <c r="A15" s="1" t="s">
        <v>24</v>
      </c>
      <c r="B15" s="289">
        <v>4.28</v>
      </c>
      <c r="C15" s="289">
        <v>4.07</v>
      </c>
      <c r="D15" s="289"/>
      <c r="E15" s="289"/>
      <c r="F15" s="289"/>
      <c r="G15" s="289"/>
      <c r="H15" s="289">
        <v>4.1050000000000004</v>
      </c>
    </row>
    <row r="16" spans="1:8" x14ac:dyDescent="0.25">
      <c r="A16" s="1" t="s">
        <v>19</v>
      </c>
      <c r="B16" s="289">
        <v>4.28</v>
      </c>
      <c r="C16" s="289">
        <v>4.08</v>
      </c>
      <c r="D16" s="289"/>
      <c r="E16" s="289"/>
      <c r="F16" s="289"/>
      <c r="G16" s="289"/>
      <c r="H16" s="289">
        <v>4.1109999999999998</v>
      </c>
    </row>
    <row r="17" spans="1:8" x14ac:dyDescent="0.25">
      <c r="A17" s="1" t="s">
        <v>21</v>
      </c>
      <c r="B17" s="289">
        <v>4.28</v>
      </c>
      <c r="C17" s="289">
        <v>4.09</v>
      </c>
      <c r="D17" s="289"/>
      <c r="E17" s="289"/>
      <c r="F17" s="289"/>
      <c r="G17" s="289"/>
      <c r="H17" s="289">
        <v>4.0529999999999999</v>
      </c>
    </row>
    <row r="18" spans="1:8" x14ac:dyDescent="0.25">
      <c r="A18" s="1" t="s">
        <v>25</v>
      </c>
      <c r="B18" s="289">
        <v>4.2300000000000004</v>
      </c>
      <c r="C18" s="289">
        <v>4.0999999999999996</v>
      </c>
      <c r="D18" s="289"/>
      <c r="E18" s="289"/>
      <c r="F18" s="289"/>
      <c r="G18" s="289"/>
      <c r="H18" s="289">
        <v>4.008</v>
      </c>
    </row>
    <row r="19" spans="1:8" x14ac:dyDescent="0.25">
      <c r="A19" s="1" t="s">
        <v>20</v>
      </c>
      <c r="B19" s="289">
        <v>4.24</v>
      </c>
      <c r="C19" s="289">
        <v>4.03</v>
      </c>
      <c r="D19" s="289"/>
      <c r="E19" s="289"/>
      <c r="F19" s="289"/>
      <c r="G19" s="289"/>
      <c r="H19" s="289">
        <v>3.9780000000000002</v>
      </c>
    </row>
    <row r="20" spans="1:8" x14ac:dyDescent="0.25">
      <c r="A20" s="1" t="s">
        <v>26</v>
      </c>
      <c r="B20" s="289">
        <v>4.22</v>
      </c>
      <c r="C20" s="289">
        <v>4.34</v>
      </c>
      <c r="D20" s="289"/>
      <c r="E20" s="289"/>
      <c r="F20" s="289"/>
      <c r="G20" s="289"/>
      <c r="H20" s="289">
        <v>4.2590000000000003</v>
      </c>
    </row>
  </sheetData>
  <mergeCells count="1">
    <mergeCell ref="A1:H1"/>
  </mergeCell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CC696-E8BE-4499-8698-99D36CD431AD}">
  <dimension ref="A1:AD38"/>
  <sheetViews>
    <sheetView view="pageBreakPreview" zoomScale="60" zoomScaleNormal="70" workbookViewId="0">
      <selection activeCell="J30" sqref="J30"/>
    </sheetView>
  </sheetViews>
  <sheetFormatPr defaultRowHeight="15" x14ac:dyDescent="0.25"/>
  <cols>
    <col min="1" max="1" width="19.5703125" customWidth="1"/>
    <col min="2" max="2" width="16.85546875" customWidth="1"/>
    <col min="3" max="3" width="11.7109375" customWidth="1"/>
    <col min="4" max="5" width="15.85546875" customWidth="1"/>
    <col min="6" max="6" width="18.140625" customWidth="1"/>
    <col min="7" max="7" width="15.85546875" customWidth="1"/>
    <col min="8" max="8" width="14.85546875" customWidth="1"/>
    <col min="9" max="9" width="15.85546875" customWidth="1"/>
    <col min="10" max="10" width="18.140625" customWidth="1"/>
    <col min="11" max="14" width="15.85546875" customWidth="1"/>
    <col min="15" max="15" width="22" customWidth="1"/>
    <col min="16" max="16" width="15.85546875" customWidth="1"/>
    <col min="17" max="17" width="15" customWidth="1"/>
    <col min="18" max="19" width="13.42578125" hidden="1" customWidth="1"/>
    <col min="20" max="20" width="13.42578125" style="40" hidden="1" customWidth="1"/>
    <col min="21" max="21" width="16" hidden="1" customWidth="1"/>
    <col min="22" max="23" width="12.28515625" style="41" hidden="1" customWidth="1"/>
    <col min="24" max="26" width="11" hidden="1" customWidth="1"/>
    <col min="27" max="27" width="19" hidden="1" customWidth="1"/>
    <col min="28" max="28" width="50.140625" hidden="1" customWidth="1"/>
  </cols>
  <sheetData>
    <row r="1" spans="1:28" ht="27" thickBot="1" x14ac:dyDescent="0.3">
      <c r="A1" s="267" t="s">
        <v>27</v>
      </c>
      <c r="B1" s="268"/>
      <c r="C1" s="268"/>
      <c r="D1" s="268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269"/>
      <c r="AB1" s="270"/>
    </row>
    <row r="2" spans="1:28" ht="19.5" thickBot="1" x14ac:dyDescent="0.3">
      <c r="A2" s="271" t="s">
        <v>28</v>
      </c>
      <c r="B2" s="272"/>
      <c r="C2" s="272"/>
      <c r="D2" s="273"/>
      <c r="E2" s="198" t="s">
        <v>72</v>
      </c>
      <c r="F2" s="178"/>
      <c r="G2" s="178"/>
      <c r="H2" s="179"/>
      <c r="I2" s="177">
        <v>46113</v>
      </c>
      <c r="J2" s="178"/>
      <c r="K2" s="178"/>
      <c r="L2" s="86"/>
      <c r="M2" s="87"/>
      <c r="N2" s="177" t="s">
        <v>73</v>
      </c>
      <c r="O2" s="178"/>
      <c r="P2" s="178"/>
      <c r="Q2" s="179"/>
      <c r="R2" s="274"/>
      <c r="S2" s="275"/>
      <c r="T2" s="275"/>
      <c r="U2" s="275"/>
      <c r="V2" s="275"/>
      <c r="W2" s="275"/>
      <c r="X2" s="275"/>
      <c r="Y2" s="276"/>
      <c r="Z2" s="276"/>
      <c r="AA2" s="276"/>
      <c r="AB2" s="4"/>
    </row>
    <row r="3" spans="1:28" ht="19.5" thickBot="1" x14ac:dyDescent="0.3">
      <c r="A3" s="72"/>
      <c r="B3" s="73"/>
      <c r="C3" s="73"/>
      <c r="D3" s="74"/>
      <c r="E3" s="180"/>
      <c r="F3" s="181"/>
      <c r="G3" s="181"/>
      <c r="H3" s="182"/>
      <c r="I3" s="180"/>
      <c r="J3" s="181"/>
      <c r="K3" s="181"/>
      <c r="L3" s="88"/>
      <c r="M3" s="89"/>
      <c r="N3" s="180"/>
      <c r="O3" s="181"/>
      <c r="P3" s="181"/>
      <c r="Q3" s="182"/>
      <c r="R3" s="75"/>
      <c r="S3" s="76"/>
      <c r="T3" s="76"/>
      <c r="U3" s="76"/>
      <c r="V3" s="76"/>
      <c r="W3" s="76"/>
      <c r="X3" s="76"/>
      <c r="Y3" s="77"/>
      <c r="Z3" s="77"/>
      <c r="AA3" s="77"/>
    </row>
    <row r="4" spans="1:28" ht="78.75" x14ac:dyDescent="0.25">
      <c r="A4" s="5" t="s">
        <v>29</v>
      </c>
      <c r="B4" s="6" t="s">
        <v>30</v>
      </c>
      <c r="C4" s="6" t="s">
        <v>31</v>
      </c>
      <c r="D4" s="98" t="s">
        <v>32</v>
      </c>
      <c r="E4" s="110" t="s">
        <v>70</v>
      </c>
      <c r="F4" s="6" t="s">
        <v>69</v>
      </c>
      <c r="G4" s="6" t="s">
        <v>78</v>
      </c>
      <c r="H4" s="111" t="s">
        <v>39</v>
      </c>
      <c r="I4" s="110" t="s">
        <v>74</v>
      </c>
      <c r="J4" s="6" t="s">
        <v>75</v>
      </c>
      <c r="K4" s="6" t="s">
        <v>76</v>
      </c>
      <c r="L4" s="6" t="s">
        <v>77</v>
      </c>
      <c r="M4" s="111" t="s">
        <v>37</v>
      </c>
      <c r="N4" s="110" t="s">
        <v>70</v>
      </c>
      <c r="O4" s="6" t="s">
        <v>69</v>
      </c>
      <c r="P4" s="6" t="s">
        <v>71</v>
      </c>
      <c r="Q4" s="141" t="s">
        <v>39</v>
      </c>
      <c r="R4" s="107" t="s">
        <v>33</v>
      </c>
      <c r="S4" s="6" t="s">
        <v>34</v>
      </c>
      <c r="T4" s="6" t="s">
        <v>35</v>
      </c>
      <c r="U4" s="6" t="s">
        <v>36</v>
      </c>
      <c r="V4" s="6" t="s">
        <v>37</v>
      </c>
      <c r="W4" s="6" t="s">
        <v>38</v>
      </c>
      <c r="X4" s="6" t="s">
        <v>39</v>
      </c>
      <c r="Y4" s="6" t="s">
        <v>40</v>
      </c>
      <c r="Z4" s="6" t="s">
        <v>41</v>
      </c>
      <c r="AA4" s="6" t="s">
        <v>42</v>
      </c>
      <c r="AB4" s="7" t="s">
        <v>43</v>
      </c>
    </row>
    <row r="5" spans="1:28" ht="84" x14ac:dyDescent="0.35">
      <c r="A5" s="8" t="s">
        <v>44</v>
      </c>
      <c r="B5" s="9" t="s">
        <v>45</v>
      </c>
      <c r="C5" s="10" t="s">
        <v>46</v>
      </c>
      <c r="D5" s="99">
        <v>118.64</v>
      </c>
      <c r="E5" s="112">
        <f>172696.96+227539.72+439440.39</f>
        <v>839677.07000000007</v>
      </c>
      <c r="F5" s="11">
        <f>(2925.98*439440.33+2983.76*227539.7+2968.55*172696.96)</f>
        <v>2477377032.6533999</v>
      </c>
      <c r="G5" s="97">
        <f>F5/E5</f>
        <v>2950.3926225511909</v>
      </c>
      <c r="H5" s="113">
        <f>(G5*0.72)/1000/0.92</f>
        <v>2.309002921996584</v>
      </c>
      <c r="I5" s="112">
        <v>1055582</v>
      </c>
      <c r="J5" s="11">
        <v>3282720000</v>
      </c>
      <c r="K5" s="25">
        <f>J5/I5</f>
        <v>3109.8673527968458</v>
      </c>
      <c r="L5" s="25">
        <v>120</v>
      </c>
      <c r="M5" s="119">
        <f>K5+L5</f>
        <v>3229.8673527968458</v>
      </c>
      <c r="N5" s="112">
        <f>E5+I5</f>
        <v>1895259.07</v>
      </c>
      <c r="O5" s="25">
        <f>F5+J5+L5*I5</f>
        <v>5886766872.6534004</v>
      </c>
      <c r="P5" s="25">
        <f>O5/N5</f>
        <v>3106.0486483535997</v>
      </c>
      <c r="Q5" s="142">
        <f>(P5*0.72)/1000/0.92</f>
        <v>2.4308206813202085</v>
      </c>
      <c r="R5" s="108">
        <v>2823</v>
      </c>
      <c r="S5" s="11"/>
      <c r="T5" s="12">
        <v>20</v>
      </c>
      <c r="U5" s="11">
        <v>124</v>
      </c>
      <c r="V5" s="13">
        <f>R5+U5</f>
        <v>2947</v>
      </c>
      <c r="W5" s="13"/>
      <c r="X5" s="14">
        <f>(V5*0.783)/1000/0.92</f>
        <v>2.5081532608695656</v>
      </c>
      <c r="Y5" s="14"/>
      <c r="Z5" s="14"/>
      <c r="AA5" s="14"/>
      <c r="AB5" s="15" t="s">
        <v>47</v>
      </c>
    </row>
    <row r="6" spans="1:28" ht="18.75" x14ac:dyDescent="0.25">
      <c r="A6" s="16" t="s">
        <v>48</v>
      </c>
      <c r="B6" s="17" t="s">
        <v>45</v>
      </c>
      <c r="C6" s="18" t="s">
        <v>46</v>
      </c>
      <c r="D6" s="100">
        <v>42.26</v>
      </c>
      <c r="E6" s="144">
        <f>(514236.79+249087.57)</f>
        <v>763324.36</v>
      </c>
      <c r="F6" s="146">
        <f>(514236.79+249087.57)*3599.37</f>
        <v>2747486801.6531997</v>
      </c>
      <c r="G6" s="209">
        <f>F6/E6</f>
        <v>3599.3699999999994</v>
      </c>
      <c r="H6" s="114">
        <f>(G6*0.851)/1000/0.92</f>
        <v>3.3294172499999997</v>
      </c>
      <c r="I6" s="151">
        <f>240534+266128</f>
        <v>506662</v>
      </c>
      <c r="J6" s="152">
        <v>1340000000</v>
      </c>
      <c r="K6" s="153">
        <f>J6/I6</f>
        <v>2644.7612017479109</v>
      </c>
      <c r="L6" s="95">
        <f>U6</f>
        <v>226.8</v>
      </c>
      <c r="M6" s="155">
        <f>K6+L6</f>
        <v>2871.5612017479111</v>
      </c>
      <c r="N6" s="144">
        <f>E6+I9</f>
        <v>1418967.3599999999</v>
      </c>
      <c r="O6" s="146">
        <f>F6+J9+I9*L9</f>
        <v>5106095323.2532005</v>
      </c>
      <c r="P6" s="183">
        <f>O6/N6</f>
        <v>3598.4586165908713</v>
      </c>
      <c r="Q6" s="143">
        <f>(P6*0.851)/1000/0.92</f>
        <v>3.3285742203465558</v>
      </c>
      <c r="R6" s="109">
        <v>2823</v>
      </c>
      <c r="S6" s="19"/>
      <c r="T6" s="20">
        <v>80</v>
      </c>
      <c r="U6" s="21">
        <f>216*1.05</f>
        <v>226.8</v>
      </c>
      <c r="V6" s="22">
        <f t="shared" ref="V6:V32" si="0">R6+U6</f>
        <v>3049.8</v>
      </c>
      <c r="W6" s="22"/>
      <c r="X6" s="23">
        <f>(V6*0.849)/1000/0.92</f>
        <v>2.814435</v>
      </c>
      <c r="Y6" s="23"/>
      <c r="Z6" s="23"/>
      <c r="AA6" s="24"/>
      <c r="AB6" s="252" t="s">
        <v>49</v>
      </c>
    </row>
    <row r="7" spans="1:28" ht="18.75" x14ac:dyDescent="0.25">
      <c r="A7" s="219" t="s">
        <v>50</v>
      </c>
      <c r="B7" s="10" t="s">
        <v>51</v>
      </c>
      <c r="C7" s="10" t="s">
        <v>46</v>
      </c>
      <c r="D7" s="99">
        <v>22.7</v>
      </c>
      <c r="E7" s="145"/>
      <c r="F7" s="147"/>
      <c r="G7" s="210"/>
      <c r="H7" s="199">
        <f>(G6*0.69)/1000/0.9375</f>
        <v>2.6491363199999989</v>
      </c>
      <c r="I7" s="151"/>
      <c r="J7" s="152"/>
      <c r="K7" s="154"/>
      <c r="L7" s="95">
        <f t="shared" ref="L7:L33" si="1">U7</f>
        <v>227</v>
      </c>
      <c r="M7" s="156"/>
      <c r="N7" s="145"/>
      <c r="O7" s="147"/>
      <c r="P7" s="184"/>
      <c r="Q7" s="186">
        <f>(P6*0.69)/1000/0.9375</f>
        <v>2.6484655418108809</v>
      </c>
      <c r="R7" s="108">
        <v>3368</v>
      </c>
      <c r="S7" s="11"/>
      <c r="T7" s="12">
        <v>80</v>
      </c>
      <c r="U7" s="11">
        <v>227</v>
      </c>
      <c r="V7" s="13">
        <f>U7+R7</f>
        <v>3595</v>
      </c>
      <c r="W7" s="13"/>
      <c r="X7" s="14">
        <f>(V7*0.665)/1000/0.9375</f>
        <v>2.5500533333333335</v>
      </c>
      <c r="Y7" s="14"/>
      <c r="Z7" s="14"/>
      <c r="AA7" s="14"/>
      <c r="AB7" s="253"/>
    </row>
    <row r="8" spans="1:28" ht="18.75" x14ac:dyDescent="0.25">
      <c r="A8" s="220"/>
      <c r="B8" s="10" t="s">
        <v>51</v>
      </c>
      <c r="C8" s="10" t="s">
        <v>52</v>
      </c>
      <c r="D8" s="99">
        <v>20.05</v>
      </c>
      <c r="E8" s="145"/>
      <c r="F8" s="147"/>
      <c r="G8" s="210"/>
      <c r="H8" s="200"/>
      <c r="I8" s="120">
        <f>34017+114964</f>
        <v>148981</v>
      </c>
      <c r="J8" s="19">
        <f>727900000</f>
        <v>727900000</v>
      </c>
      <c r="K8" s="78">
        <f t="shared" ref="K8:K13" si="2">J8/I8</f>
        <v>4885.8579281921857</v>
      </c>
      <c r="L8" s="95">
        <f t="shared" si="1"/>
        <v>1180</v>
      </c>
      <c r="M8" s="121">
        <f>K8+L8</f>
        <v>6065.8579281921857</v>
      </c>
      <c r="N8" s="145"/>
      <c r="O8" s="147"/>
      <c r="P8" s="184"/>
      <c r="Q8" s="187"/>
      <c r="R8" s="108">
        <v>4861</v>
      </c>
      <c r="S8" s="11"/>
      <c r="T8" s="12">
        <v>493</v>
      </c>
      <c r="U8" s="11">
        <v>1180</v>
      </c>
      <c r="V8" s="13">
        <f>R8+U8</f>
        <v>6041</v>
      </c>
      <c r="W8" s="13"/>
      <c r="X8" s="14">
        <f>(V8*0.665)/1000/0.9375</f>
        <v>4.2850826666666668</v>
      </c>
      <c r="Y8" s="14"/>
      <c r="Z8" s="14"/>
      <c r="AA8" s="14"/>
      <c r="AB8" s="253"/>
    </row>
    <row r="9" spans="1:28" ht="36.75" customHeight="1" x14ac:dyDescent="0.25">
      <c r="A9" s="221"/>
      <c r="B9" s="10"/>
      <c r="C9" s="10"/>
      <c r="D9" s="99"/>
      <c r="E9" s="157"/>
      <c r="F9" s="158"/>
      <c r="G9" s="211"/>
      <c r="H9" s="201"/>
      <c r="I9" s="122">
        <f>I6+I8</f>
        <v>655643</v>
      </c>
      <c r="J9" s="58">
        <f>J8+J6</f>
        <v>2067900000</v>
      </c>
      <c r="K9" s="92">
        <f t="shared" si="2"/>
        <v>3154.0030168857138</v>
      </c>
      <c r="L9" s="95">
        <f>(I6*L6+I8*L8)/I9</f>
        <v>443.39453269538456</v>
      </c>
      <c r="M9" s="123">
        <f>K9+L9</f>
        <v>3597.3975495810982</v>
      </c>
      <c r="N9" s="157"/>
      <c r="O9" s="158"/>
      <c r="P9" s="185"/>
      <c r="Q9" s="188"/>
      <c r="R9" s="133"/>
      <c r="S9" s="26"/>
      <c r="T9" s="27"/>
      <c r="U9" s="26"/>
      <c r="V9" s="28"/>
      <c r="W9" s="28"/>
      <c r="X9" s="29"/>
      <c r="Y9" s="29"/>
      <c r="Z9" s="29"/>
      <c r="AA9" s="14"/>
      <c r="AB9" s="254"/>
    </row>
    <row r="10" spans="1:28" ht="24" x14ac:dyDescent="0.25">
      <c r="A10" s="277" t="s">
        <v>53</v>
      </c>
      <c r="B10" s="233" t="s">
        <v>51</v>
      </c>
      <c r="C10" s="18" t="s">
        <v>54</v>
      </c>
      <c r="D10" s="100"/>
      <c r="E10" s="151">
        <f>168220.8-33830.5</f>
        <v>134390.29999999999</v>
      </c>
      <c r="F10" s="152">
        <f>134390.3*4722.53</f>
        <v>634662223.45899987</v>
      </c>
      <c r="G10" s="212">
        <f>F10/E10</f>
        <v>4722.53</v>
      </c>
      <c r="H10" s="202">
        <f>(G10*0.688)/1000/0.9375</f>
        <v>3.465707349333333</v>
      </c>
      <c r="I10" s="124">
        <v>31085</v>
      </c>
      <c r="J10" s="19">
        <v>70100000</v>
      </c>
      <c r="K10" s="31">
        <f t="shared" si="2"/>
        <v>2255.1069647740069</v>
      </c>
      <c r="L10" s="94">
        <f t="shared" si="1"/>
        <v>1129</v>
      </c>
      <c r="M10" s="125">
        <f>K10+L10</f>
        <v>3384.1069647740069</v>
      </c>
      <c r="N10" s="151">
        <f>E10+I13</f>
        <v>332174.3</v>
      </c>
      <c r="O10" s="152">
        <f>F10+J13+L13*I13</f>
        <v>1426508335.4589999</v>
      </c>
      <c r="P10" s="152">
        <f>O10/N10</f>
        <v>4294.457263728711</v>
      </c>
      <c r="Q10" s="189">
        <f>(P10*0.688)/1000/0.9375</f>
        <v>3.1515590372750433</v>
      </c>
      <c r="R10" s="90">
        <v>3368</v>
      </c>
      <c r="S10" s="32">
        <v>10</v>
      </c>
      <c r="T10" s="33">
        <v>499</v>
      </c>
      <c r="U10" s="32">
        <v>1129</v>
      </c>
      <c r="V10" s="34">
        <f>U10+R10</f>
        <v>4497</v>
      </c>
      <c r="W10" s="34">
        <v>3600</v>
      </c>
      <c r="X10" s="35">
        <f>(V10*0.681)/1000/0.9375</f>
        <v>3.2666208000000001</v>
      </c>
      <c r="Y10" s="237">
        <v>3.22</v>
      </c>
      <c r="Z10" s="35">
        <v>1.5</v>
      </c>
      <c r="AA10" s="281">
        <f>(X10*Z10+X11*1.5+X12*21.66)/D12</f>
        <v>3.3071822871046224</v>
      </c>
      <c r="AB10" s="282" t="s">
        <v>55</v>
      </c>
    </row>
    <row r="11" spans="1:28" ht="24" x14ac:dyDescent="0.25">
      <c r="A11" s="278"/>
      <c r="B11" s="234"/>
      <c r="C11" s="36" t="s">
        <v>52</v>
      </c>
      <c r="D11" s="100"/>
      <c r="E11" s="151"/>
      <c r="F11" s="152"/>
      <c r="G11" s="212"/>
      <c r="H11" s="202"/>
      <c r="I11" s="124">
        <v>3955</v>
      </c>
      <c r="J11" s="19">
        <v>17560000</v>
      </c>
      <c r="K11" s="31">
        <f t="shared" si="2"/>
        <v>4439.9494310998734</v>
      </c>
      <c r="L11" s="94">
        <f t="shared" si="1"/>
        <v>1665</v>
      </c>
      <c r="M11" s="125">
        <f t="shared" ref="M11:M12" si="3">K11+L11</f>
        <v>6104.9494310998734</v>
      </c>
      <c r="N11" s="151"/>
      <c r="O11" s="152"/>
      <c r="P11" s="152"/>
      <c r="Q11" s="189"/>
      <c r="R11" s="90">
        <v>4861</v>
      </c>
      <c r="S11" s="32">
        <v>10</v>
      </c>
      <c r="T11" s="33">
        <v>796</v>
      </c>
      <c r="U11" s="32">
        <v>1665</v>
      </c>
      <c r="V11" s="37">
        <f>U11+R11</f>
        <v>6526</v>
      </c>
      <c r="W11" s="37">
        <v>4100</v>
      </c>
      <c r="X11" s="35">
        <f>(V11*0.661)/1000/0.9375</f>
        <v>4.6012650666666675</v>
      </c>
      <c r="Y11" s="238"/>
      <c r="Z11" s="35">
        <v>1.5</v>
      </c>
      <c r="AA11" s="281"/>
      <c r="AB11" s="283"/>
    </row>
    <row r="12" spans="1:28" ht="24" x14ac:dyDescent="0.25">
      <c r="A12" s="278"/>
      <c r="B12" s="234"/>
      <c r="C12" s="18" t="s">
        <v>56</v>
      </c>
      <c r="D12" s="100">
        <v>24.66</v>
      </c>
      <c r="E12" s="151"/>
      <c r="F12" s="152"/>
      <c r="G12" s="212"/>
      <c r="H12" s="202"/>
      <c r="I12" s="124">
        <v>162744</v>
      </c>
      <c r="J12" s="19">
        <v>400000000</v>
      </c>
      <c r="K12" s="31">
        <f t="shared" si="2"/>
        <v>2457.8479083714301</v>
      </c>
      <c r="L12" s="94">
        <f t="shared" si="1"/>
        <v>1613</v>
      </c>
      <c r="M12" s="125">
        <f t="shared" si="3"/>
        <v>4070.8479083714301</v>
      </c>
      <c r="N12" s="151"/>
      <c r="O12" s="152"/>
      <c r="P12" s="152"/>
      <c r="Q12" s="189"/>
      <c r="R12" s="91">
        <v>2700</v>
      </c>
      <c r="S12" s="38">
        <v>10</v>
      </c>
      <c r="T12" s="39">
        <v>785</v>
      </c>
      <c r="U12" s="38">
        <v>1613</v>
      </c>
      <c r="V12" s="34">
        <f t="shared" ref="V12" si="4">R12+U12</f>
        <v>4313</v>
      </c>
      <c r="W12" s="34">
        <v>3400</v>
      </c>
      <c r="X12" s="35">
        <f>(V12*0.7)/1000/0.9375</f>
        <v>3.2203733333333333</v>
      </c>
      <c r="Y12" s="238"/>
      <c r="Z12" s="35">
        <f>D12-3</f>
        <v>21.66</v>
      </c>
      <c r="AA12" s="281"/>
      <c r="AB12" s="283"/>
    </row>
    <row r="13" spans="1:28" ht="42.75" customHeight="1" x14ac:dyDescent="0.25">
      <c r="A13" s="279"/>
      <c r="B13" s="280"/>
      <c r="D13" s="101">
        <v>24.66</v>
      </c>
      <c r="E13" s="151"/>
      <c r="F13" s="152"/>
      <c r="G13" s="212"/>
      <c r="H13" s="202"/>
      <c r="I13" s="122">
        <f>SUM(I10:I12)</f>
        <v>197784</v>
      </c>
      <c r="J13" s="58">
        <f>SUM(J10:J12)</f>
        <v>487660000</v>
      </c>
      <c r="K13" s="93">
        <f t="shared" si="2"/>
        <v>2465.6190591756663</v>
      </c>
      <c r="L13" s="96">
        <f>(L10*I10+L11*I11+L12*I12)/I13</f>
        <v>1537.9712818023702</v>
      </c>
      <c r="M13" s="126">
        <f>L13+K13</f>
        <v>4003.5903409780367</v>
      </c>
      <c r="N13" s="151"/>
      <c r="O13" s="152"/>
      <c r="P13" s="152"/>
      <c r="Q13" s="189"/>
      <c r="Y13" s="260"/>
      <c r="Z13" s="42">
        <f>Z10+Z11+Z12</f>
        <v>24.66</v>
      </c>
      <c r="AA13" s="281"/>
      <c r="AB13" s="284"/>
    </row>
    <row r="14" spans="1:28" ht="24" x14ac:dyDescent="0.25">
      <c r="A14" s="244" t="s">
        <v>57</v>
      </c>
      <c r="B14" s="246" t="s">
        <v>45</v>
      </c>
      <c r="C14" s="43" t="s">
        <v>52</v>
      </c>
      <c r="D14" s="102">
        <v>2.82</v>
      </c>
      <c r="E14" s="190">
        <f>386377-43818</f>
        <v>342559</v>
      </c>
      <c r="F14" s="193">
        <f>E14*5252.34</f>
        <v>1799236338.0599999</v>
      </c>
      <c r="G14" s="206">
        <f>F14/E14</f>
        <v>5252.34</v>
      </c>
      <c r="H14" s="203">
        <f>(G14*0.72)/1000/0.92</f>
        <v>4.1105269565217384</v>
      </c>
      <c r="I14" s="190"/>
      <c r="J14" s="193"/>
      <c r="K14" s="264"/>
      <c r="L14" s="94">
        <f t="shared" si="1"/>
        <v>2194</v>
      </c>
      <c r="M14" s="125"/>
      <c r="N14" s="190"/>
      <c r="O14" s="193"/>
      <c r="P14" s="193"/>
      <c r="Q14" s="148"/>
      <c r="R14" s="134">
        <v>4497</v>
      </c>
      <c r="S14" s="44">
        <v>0</v>
      </c>
      <c r="T14" s="45">
        <v>1108</v>
      </c>
      <c r="U14" s="44">
        <v>2194</v>
      </c>
      <c r="V14" s="46">
        <f>R14+U14</f>
        <v>6691</v>
      </c>
      <c r="W14" s="46">
        <v>4100</v>
      </c>
      <c r="X14" s="47">
        <f>(V14*0.7)/1000/0.92</f>
        <v>5.0909782608695648</v>
      </c>
      <c r="Y14" s="248">
        <v>3.85</v>
      </c>
      <c r="Z14" s="47">
        <v>2.82</v>
      </c>
      <c r="AA14" s="251">
        <v>3.85</v>
      </c>
      <c r="AB14" s="252"/>
    </row>
    <row r="15" spans="1:28" ht="24" x14ac:dyDescent="0.25">
      <c r="A15" s="245"/>
      <c r="B15" s="247"/>
      <c r="C15" s="49" t="s">
        <v>58</v>
      </c>
      <c r="D15" s="102">
        <v>21.69</v>
      </c>
      <c r="E15" s="191"/>
      <c r="F15" s="194"/>
      <c r="G15" s="207"/>
      <c r="H15" s="204"/>
      <c r="I15" s="191"/>
      <c r="J15" s="194"/>
      <c r="K15" s="265"/>
      <c r="L15" s="94">
        <f t="shared" si="1"/>
        <v>2164</v>
      </c>
      <c r="M15" s="125"/>
      <c r="N15" s="191"/>
      <c r="O15" s="194"/>
      <c r="P15" s="194"/>
      <c r="Q15" s="149"/>
      <c r="R15" s="134">
        <v>2349</v>
      </c>
      <c r="S15" s="44">
        <v>0</v>
      </c>
      <c r="T15" s="45">
        <v>1098</v>
      </c>
      <c r="U15" s="44">
        <v>2164</v>
      </c>
      <c r="V15" s="50">
        <f>R15+U15</f>
        <v>4513</v>
      </c>
      <c r="W15" s="50">
        <v>3400</v>
      </c>
      <c r="X15" s="47">
        <f>(V15*0.743)/1000/0.92</f>
        <v>3.6447380434782608</v>
      </c>
      <c r="Y15" s="249"/>
      <c r="Z15" s="48">
        <f>21.69-1.5</f>
        <v>20.190000000000001</v>
      </c>
      <c r="AA15" s="251"/>
      <c r="AB15" s="253"/>
    </row>
    <row r="16" spans="1:28" ht="24" x14ac:dyDescent="0.25">
      <c r="A16" s="51"/>
      <c r="B16" s="49"/>
      <c r="C16" s="49"/>
      <c r="D16" s="103">
        <f>SUM(D14:D15)</f>
        <v>24.51</v>
      </c>
      <c r="E16" s="192"/>
      <c r="F16" s="195"/>
      <c r="G16" s="208"/>
      <c r="H16" s="205"/>
      <c r="I16" s="192"/>
      <c r="J16" s="195"/>
      <c r="K16" s="266"/>
      <c r="L16" s="94">
        <f t="shared" si="1"/>
        <v>2167.451652386781</v>
      </c>
      <c r="M16" s="125"/>
      <c r="N16" s="192"/>
      <c r="O16" s="195"/>
      <c r="P16" s="195"/>
      <c r="Q16" s="150"/>
      <c r="R16" s="135">
        <f>(R14*D14+R15*D15)/D16</f>
        <v>2596.1383108935129</v>
      </c>
      <c r="S16" s="52"/>
      <c r="T16" s="52"/>
      <c r="U16" s="52">
        <f>(U14*D14+U15*D15)/D16</f>
        <v>2167.451652386781</v>
      </c>
      <c r="V16" s="50">
        <f>R16+U16</f>
        <v>4763.5899632802939</v>
      </c>
      <c r="W16" s="50"/>
      <c r="X16" s="53">
        <f>(V16*0.743)/1000/0.92</f>
        <v>3.8471166768665852</v>
      </c>
      <c r="Y16" s="250"/>
      <c r="Z16" s="53">
        <f>Z15+Z14</f>
        <v>23.01</v>
      </c>
      <c r="AA16" s="251"/>
      <c r="AB16" s="253"/>
    </row>
    <row r="17" spans="1:28" ht="24" x14ac:dyDescent="0.25">
      <c r="A17" s="231" t="s">
        <v>59</v>
      </c>
      <c r="B17" s="256" t="s">
        <v>60</v>
      </c>
      <c r="C17" s="18" t="s">
        <v>56</v>
      </c>
      <c r="D17" s="100">
        <v>12.33</v>
      </c>
      <c r="E17" s="144">
        <f>435540-154991</f>
        <v>280549</v>
      </c>
      <c r="F17" s="146">
        <f>E17*G17</f>
        <v>1489659080.2</v>
      </c>
      <c r="G17" s="261">
        <v>5309.8</v>
      </c>
      <c r="H17" s="174">
        <f>(G17*0.661)/1000/0.9375</f>
        <v>3.7437629866666668</v>
      </c>
      <c r="I17" s="124">
        <v>86632</v>
      </c>
      <c r="J17" s="19">
        <v>169320000</v>
      </c>
      <c r="K17" s="31">
        <f>J17/I17</f>
        <v>1954.4740973312403</v>
      </c>
      <c r="L17" s="94">
        <f t="shared" si="1"/>
        <v>2164</v>
      </c>
      <c r="M17" s="125">
        <f>K17+L17</f>
        <v>4118.47409733124</v>
      </c>
      <c r="N17" s="144">
        <f>E17+I21+E14</f>
        <v>728100</v>
      </c>
      <c r="O17" s="146">
        <f>F14+F17+J21+L21*I21</f>
        <v>3756858834.2600002</v>
      </c>
      <c r="P17" s="159">
        <f>O17/N17</f>
        <v>5159.8116113995329</v>
      </c>
      <c r="Q17" s="148">
        <f>(P17*0.661)/1000/0.9375</f>
        <v>3.6380111734774307</v>
      </c>
      <c r="R17" s="91">
        <v>2700</v>
      </c>
      <c r="S17" s="38">
        <v>10</v>
      </c>
      <c r="T17" s="39">
        <v>1098</v>
      </c>
      <c r="U17" s="38">
        <v>2164</v>
      </c>
      <c r="V17" s="34">
        <f t="shared" si="0"/>
        <v>4864</v>
      </c>
      <c r="W17" s="34">
        <v>3400</v>
      </c>
      <c r="X17" s="35">
        <f>(V17*0.7)/1000/0.9375</f>
        <v>3.6317866666666663</v>
      </c>
      <c r="Y17" s="235">
        <v>3.81</v>
      </c>
      <c r="Z17" s="35">
        <v>10.33</v>
      </c>
      <c r="AA17" s="237">
        <f>(Z17*X17+Z19*X19+X20*Z20)/D21</f>
        <v>3.4845805144032913</v>
      </c>
      <c r="AB17" s="253"/>
    </row>
    <row r="18" spans="1:28" ht="24" x14ac:dyDescent="0.25">
      <c r="A18" s="232"/>
      <c r="B18" s="257"/>
      <c r="C18" s="18" t="s">
        <v>46</v>
      </c>
      <c r="D18" s="100"/>
      <c r="E18" s="145"/>
      <c r="F18" s="147"/>
      <c r="G18" s="262"/>
      <c r="H18" s="175"/>
      <c r="I18" s="124">
        <v>4012</v>
      </c>
      <c r="J18" s="19">
        <v>8360000</v>
      </c>
      <c r="K18" s="31">
        <f t="shared" ref="K18:K21" si="5">J18/I18</f>
        <v>2083.7487537387838</v>
      </c>
      <c r="L18" s="94">
        <f t="shared" si="1"/>
        <v>1688</v>
      </c>
      <c r="M18" s="125">
        <f t="shared" ref="M18:M21" si="6">K18+L18</f>
        <v>3771.7487537387838</v>
      </c>
      <c r="N18" s="145"/>
      <c r="O18" s="147"/>
      <c r="P18" s="160"/>
      <c r="Q18" s="149"/>
      <c r="R18" s="91">
        <v>3368</v>
      </c>
      <c r="S18" s="38">
        <v>10</v>
      </c>
      <c r="T18" s="39">
        <v>812</v>
      </c>
      <c r="U18" s="38">
        <v>1688</v>
      </c>
      <c r="V18" s="34">
        <f>U18+R18</f>
        <v>5056</v>
      </c>
      <c r="W18" s="34">
        <v>3600</v>
      </c>
      <c r="X18" s="35">
        <f>(V18*0.67)/1000/0.9375</f>
        <v>3.6133546666666665</v>
      </c>
      <c r="Y18" s="236"/>
      <c r="Z18" s="35"/>
      <c r="AA18" s="238"/>
      <c r="AB18" s="253"/>
    </row>
    <row r="19" spans="1:28" ht="24" x14ac:dyDescent="0.25">
      <c r="A19" s="232"/>
      <c r="B19" s="257"/>
      <c r="C19" s="36" t="s">
        <v>52</v>
      </c>
      <c r="D19" s="100"/>
      <c r="E19" s="145"/>
      <c r="F19" s="147"/>
      <c r="G19" s="262"/>
      <c r="H19" s="175"/>
      <c r="I19" s="124">
        <v>14348</v>
      </c>
      <c r="J19" s="19">
        <v>64560000</v>
      </c>
      <c r="K19" s="31">
        <f t="shared" si="5"/>
        <v>4499.5818232506272</v>
      </c>
      <c r="L19" s="94">
        <f t="shared" si="1"/>
        <v>2194</v>
      </c>
      <c r="M19" s="125">
        <f t="shared" si="6"/>
        <v>6693.5818232506272</v>
      </c>
      <c r="N19" s="145"/>
      <c r="O19" s="147"/>
      <c r="P19" s="160"/>
      <c r="Q19" s="149"/>
      <c r="R19" s="91">
        <v>4861</v>
      </c>
      <c r="S19" s="38">
        <v>10</v>
      </c>
      <c r="T19" s="39">
        <v>1108</v>
      </c>
      <c r="U19" s="38">
        <v>2194</v>
      </c>
      <c r="V19" s="37">
        <f>U19+R19</f>
        <v>7055</v>
      </c>
      <c r="W19" s="37">
        <v>4100</v>
      </c>
      <c r="X19" s="35">
        <f>(V19*0.65)/1000/0.9375</f>
        <v>4.8914666666666671</v>
      </c>
      <c r="Y19" s="236"/>
      <c r="Z19" s="35">
        <v>1</v>
      </c>
      <c r="AA19" s="238"/>
      <c r="AB19" s="253"/>
    </row>
    <row r="20" spans="1:28" ht="24" x14ac:dyDescent="0.25">
      <c r="A20" s="232"/>
      <c r="B20" s="257"/>
      <c r="C20" s="54" t="s">
        <v>61</v>
      </c>
      <c r="D20" s="104">
        <v>13.59</v>
      </c>
      <c r="E20" s="145"/>
      <c r="F20" s="147"/>
      <c r="G20" s="262"/>
      <c r="H20" s="175"/>
      <c r="I20" s="124">
        <v>0</v>
      </c>
      <c r="J20" s="19">
        <v>0</v>
      </c>
      <c r="K20" s="31">
        <v>0</v>
      </c>
      <c r="L20" s="94">
        <f t="shared" si="1"/>
        <v>2325</v>
      </c>
      <c r="M20" s="125">
        <f t="shared" si="6"/>
        <v>2325</v>
      </c>
      <c r="N20" s="145"/>
      <c r="O20" s="147"/>
      <c r="P20" s="160"/>
      <c r="Q20" s="149"/>
      <c r="R20" s="136">
        <f>2350+650</f>
        <v>3000</v>
      </c>
      <c r="S20" s="55">
        <v>10</v>
      </c>
      <c r="T20" s="56">
        <v>1163</v>
      </c>
      <c r="U20" s="55">
        <v>2325</v>
      </c>
      <c r="V20" s="34">
        <f t="shared" si="0"/>
        <v>5325</v>
      </c>
      <c r="W20" s="34">
        <v>3600</v>
      </c>
      <c r="X20" s="35">
        <f>(V20*0.67)/1000/0.9375</f>
        <v>3.8056000000000001</v>
      </c>
      <c r="Y20" s="236"/>
      <c r="Z20" s="57">
        <v>12.59</v>
      </c>
      <c r="AA20" s="238"/>
      <c r="AB20" s="253"/>
    </row>
    <row r="21" spans="1:28" ht="24" x14ac:dyDescent="0.25">
      <c r="A21" s="255"/>
      <c r="B21" s="258"/>
      <c r="C21" s="54"/>
      <c r="D21" s="105">
        <f>SUM(D17:D20)</f>
        <v>25.92</v>
      </c>
      <c r="E21" s="157"/>
      <c r="F21" s="158"/>
      <c r="G21" s="263"/>
      <c r="H21" s="176"/>
      <c r="I21" s="124">
        <f>SUM(I17:I20)</f>
        <v>104992</v>
      </c>
      <c r="J21" s="19">
        <f>SUM(J17:J20)</f>
        <v>242240000</v>
      </c>
      <c r="K21" s="31">
        <f t="shared" si="5"/>
        <v>2307.2234074977141</v>
      </c>
      <c r="L21" s="94">
        <f>(L17*I17+L18*I18+L19*I19)/I21</f>
        <v>2149.9106217616581</v>
      </c>
      <c r="M21" s="127">
        <f t="shared" si="6"/>
        <v>4457.1340292593723</v>
      </c>
      <c r="N21" s="157"/>
      <c r="O21" s="158"/>
      <c r="P21" s="161"/>
      <c r="Q21" s="150"/>
      <c r="R21" s="137">
        <f>(D17*R17+R20*D20)/D21</f>
        <v>2857.2916666666665</v>
      </c>
      <c r="S21" s="34"/>
      <c r="T21" s="59"/>
      <c r="U21" s="34">
        <f>(U17*D17+U20*D20)/D21</f>
        <v>2248.4131944444443</v>
      </c>
      <c r="V21" s="34">
        <f t="shared" si="0"/>
        <v>5105.7048611111113</v>
      </c>
      <c r="W21" s="34"/>
      <c r="X21" s="42">
        <f>(V21*0.68)/1000/0.9375</f>
        <v>3.7033379259259269</v>
      </c>
      <c r="Y21" s="259"/>
      <c r="Z21" s="42">
        <f>Z17+Z19+Z20</f>
        <v>23.92</v>
      </c>
      <c r="AA21" s="260"/>
      <c r="AB21" s="254"/>
    </row>
    <row r="22" spans="1:28" ht="24" x14ac:dyDescent="0.25">
      <c r="A22" s="219" t="s">
        <v>62</v>
      </c>
      <c r="B22" s="222" t="s">
        <v>45</v>
      </c>
      <c r="C22" s="10" t="s">
        <v>46</v>
      </c>
      <c r="D22" s="99">
        <v>32.47</v>
      </c>
      <c r="E22" s="162">
        <f>165641-67307+226130-91898</f>
        <v>232566</v>
      </c>
      <c r="F22" s="165">
        <f>E22*G22</f>
        <v>1095850992</v>
      </c>
      <c r="G22" s="241">
        <f>4712</f>
        <v>4712</v>
      </c>
      <c r="H22" s="171">
        <f>(G22*0.75)/1000/0.92</f>
        <v>3.8413043478260867</v>
      </c>
      <c r="I22" s="112">
        <v>242528</v>
      </c>
      <c r="J22" s="11">
        <v>645850000</v>
      </c>
      <c r="K22" s="25">
        <f>J22/I22</f>
        <v>2662.991489642433</v>
      </c>
      <c r="L22" s="94">
        <f t="shared" si="1"/>
        <v>1613</v>
      </c>
      <c r="M22" s="125">
        <f>L22+K22</f>
        <v>4275.9914896424325</v>
      </c>
      <c r="N22" s="162">
        <f>E22+I26</f>
        <v>502771</v>
      </c>
      <c r="O22" s="165">
        <f>F22+J26+L26*I26</f>
        <v>2257609819</v>
      </c>
      <c r="P22" s="168">
        <f>O22/N22</f>
        <v>4490.3342058312828</v>
      </c>
      <c r="Q22" s="148">
        <f>(P22*0.75)/1000/0.92</f>
        <v>3.6605985373624588</v>
      </c>
      <c r="R22" s="138">
        <v>2900</v>
      </c>
      <c r="S22" s="60">
        <v>0</v>
      </c>
      <c r="T22" s="61">
        <v>737</v>
      </c>
      <c r="U22" s="60">
        <v>1613</v>
      </c>
      <c r="V22" s="62">
        <f t="shared" si="0"/>
        <v>4513</v>
      </c>
      <c r="W22" s="62">
        <v>3600</v>
      </c>
      <c r="X22" s="63">
        <f>(V22*0.76)/1000/0.92</f>
        <v>3.7281304347826087</v>
      </c>
      <c r="Y22" s="225">
        <v>3.69</v>
      </c>
      <c r="Z22" s="63">
        <f>D22-1.5-1</f>
        <v>29.97</v>
      </c>
      <c r="AA22" s="225">
        <f>(X22*Z22+X23*Z23+Z24*X24+Z25*X25)/Z26</f>
        <v>3.734682839221573</v>
      </c>
      <c r="AB22" s="228" t="s">
        <v>63</v>
      </c>
    </row>
    <row r="23" spans="1:28" ht="24" x14ac:dyDescent="0.25">
      <c r="A23" s="220"/>
      <c r="B23" s="223"/>
      <c r="C23" s="10" t="s">
        <v>61</v>
      </c>
      <c r="D23" s="99"/>
      <c r="E23" s="163"/>
      <c r="F23" s="166"/>
      <c r="G23" s="242"/>
      <c r="H23" s="172"/>
      <c r="I23" s="112">
        <v>0</v>
      </c>
      <c r="J23" s="11">
        <v>0</v>
      </c>
      <c r="K23" s="25">
        <v>0</v>
      </c>
      <c r="L23" s="94">
        <f t="shared" si="1"/>
        <v>1635.9</v>
      </c>
      <c r="M23" s="125">
        <f t="shared" ref="M23:M26" si="7">L23+K23</f>
        <v>1635.9</v>
      </c>
      <c r="N23" s="163"/>
      <c r="O23" s="166"/>
      <c r="P23" s="169"/>
      <c r="Q23" s="149"/>
      <c r="R23" s="138">
        <v>3000</v>
      </c>
      <c r="S23" s="60">
        <v>10</v>
      </c>
      <c r="T23" s="61">
        <v>760</v>
      </c>
      <c r="U23" s="64">
        <f>1558*1.05</f>
        <v>1635.9</v>
      </c>
      <c r="V23" s="62">
        <f>U23+R23</f>
        <v>4635.8999999999996</v>
      </c>
      <c r="W23" s="62">
        <v>3600</v>
      </c>
      <c r="X23" s="63">
        <f>(V23*0.76)/1000/0.92</f>
        <v>3.8296565217391301</v>
      </c>
      <c r="Y23" s="226"/>
      <c r="Z23" s="63">
        <v>2</v>
      </c>
      <c r="AA23" s="226"/>
      <c r="AB23" s="229"/>
    </row>
    <row r="24" spans="1:28" ht="24" x14ac:dyDescent="0.25">
      <c r="A24" s="220"/>
      <c r="B24" s="223"/>
      <c r="C24" s="65" t="s">
        <v>52</v>
      </c>
      <c r="D24" s="99"/>
      <c r="E24" s="163"/>
      <c r="F24" s="166"/>
      <c r="G24" s="242"/>
      <c r="H24" s="172"/>
      <c r="I24" s="112">
        <v>3640</v>
      </c>
      <c r="J24" s="11">
        <v>14450000</v>
      </c>
      <c r="K24" s="25">
        <f t="shared" ref="K24:K26" si="8">J24/I24</f>
        <v>3969.7802197802198</v>
      </c>
      <c r="L24" s="94">
        <f t="shared" si="1"/>
        <v>1987</v>
      </c>
      <c r="M24" s="125">
        <f t="shared" si="7"/>
        <v>5956.7802197802193</v>
      </c>
      <c r="N24" s="163"/>
      <c r="O24" s="166"/>
      <c r="P24" s="169"/>
      <c r="Q24" s="149"/>
      <c r="R24" s="138">
        <v>4497</v>
      </c>
      <c r="S24" s="60">
        <v>0</v>
      </c>
      <c r="T24" s="61">
        <v>985</v>
      </c>
      <c r="U24" s="60">
        <v>1987</v>
      </c>
      <c r="V24" s="66">
        <f>U24+R24</f>
        <v>6484</v>
      </c>
      <c r="W24" s="66">
        <v>4100</v>
      </c>
      <c r="X24" s="63">
        <f>(V24*0.72)/1000/0.92</f>
        <v>5.0744347826086953</v>
      </c>
      <c r="Y24" s="226"/>
      <c r="Z24" s="63">
        <v>1</v>
      </c>
      <c r="AA24" s="226"/>
      <c r="AB24" s="229"/>
    </row>
    <row r="25" spans="1:28" ht="24" x14ac:dyDescent="0.25">
      <c r="A25" s="220"/>
      <c r="B25" s="223"/>
      <c r="C25" s="10" t="s">
        <v>58</v>
      </c>
      <c r="D25" s="99">
        <v>8.08</v>
      </c>
      <c r="E25" s="163"/>
      <c r="F25" s="166"/>
      <c r="G25" s="242"/>
      <c r="H25" s="172"/>
      <c r="I25" s="112">
        <v>24037</v>
      </c>
      <c r="J25" s="11">
        <v>55940000</v>
      </c>
      <c r="K25" s="25">
        <f t="shared" si="8"/>
        <v>2327.2454965261886</v>
      </c>
      <c r="L25" s="94">
        <f t="shared" si="1"/>
        <v>1959</v>
      </c>
      <c r="M25" s="125">
        <f t="shared" si="7"/>
        <v>4286.2454965261886</v>
      </c>
      <c r="N25" s="163"/>
      <c r="O25" s="166"/>
      <c r="P25" s="169"/>
      <c r="Q25" s="149"/>
      <c r="R25" s="138">
        <v>2349</v>
      </c>
      <c r="S25" s="60">
        <v>0</v>
      </c>
      <c r="T25" s="61">
        <v>974</v>
      </c>
      <c r="U25" s="60">
        <v>1959</v>
      </c>
      <c r="V25" s="62">
        <f t="shared" si="0"/>
        <v>4308</v>
      </c>
      <c r="W25" s="62">
        <v>3400</v>
      </c>
      <c r="X25" s="63">
        <f>(V25*0.76)/1000/0.92</f>
        <v>3.558782608695652</v>
      </c>
      <c r="Y25" s="226"/>
      <c r="Z25" s="63">
        <f>D25-0.5</f>
        <v>7.58</v>
      </c>
      <c r="AA25" s="226"/>
      <c r="AB25" s="229"/>
    </row>
    <row r="26" spans="1:28" ht="24" x14ac:dyDescent="0.25">
      <c r="A26" s="221"/>
      <c r="B26" s="224"/>
      <c r="C26" s="10"/>
      <c r="D26" s="99">
        <f>SUM(D22:D25)</f>
        <v>40.549999999999997</v>
      </c>
      <c r="E26" s="164"/>
      <c r="F26" s="167"/>
      <c r="G26" s="243"/>
      <c r="H26" s="173"/>
      <c r="I26" s="112">
        <f>SUM(I22:I25)</f>
        <v>270205</v>
      </c>
      <c r="J26" s="11">
        <f>SUM(J22:J25)</f>
        <v>716240000</v>
      </c>
      <c r="K26" s="25">
        <f t="shared" si="8"/>
        <v>2650.7281508484298</v>
      </c>
      <c r="L26" s="94">
        <f>(L22*I22+L24*I24+L25*I25)/I26</f>
        <v>1648.8178494106326</v>
      </c>
      <c r="M26" s="128">
        <f t="shared" si="7"/>
        <v>4299.5460002590626</v>
      </c>
      <c r="N26" s="164"/>
      <c r="O26" s="167"/>
      <c r="P26" s="170"/>
      <c r="Q26" s="150"/>
      <c r="R26" s="139">
        <f>(R22*D22+R25*D25)/D26</f>
        <v>2790.2076448828607</v>
      </c>
      <c r="S26" s="64"/>
      <c r="T26" s="67"/>
      <c r="U26" s="64">
        <f>(U22*D22+U25*D25)/D26</f>
        <v>1681.9440197287302</v>
      </c>
      <c r="V26" s="68">
        <f t="shared" si="0"/>
        <v>4472.1516646115906</v>
      </c>
      <c r="W26" s="68"/>
      <c r="X26" s="69">
        <f>(V26*0.74)/1000/0.92</f>
        <v>3.5971654693614967</v>
      </c>
      <c r="Y26" s="227"/>
      <c r="Z26" s="69">
        <f>Z22+Z23+Z24+Z25</f>
        <v>40.549999999999997</v>
      </c>
      <c r="AA26" s="227"/>
      <c r="AB26" s="230"/>
    </row>
    <row r="27" spans="1:28" ht="24" x14ac:dyDescent="0.25">
      <c r="A27" s="231" t="s">
        <v>64</v>
      </c>
      <c r="B27" s="233" t="s">
        <v>60</v>
      </c>
      <c r="C27" s="18" t="s">
        <v>65</v>
      </c>
      <c r="D27" s="100">
        <v>11.05</v>
      </c>
      <c r="E27" s="144">
        <f>561959-116725</f>
        <v>445234</v>
      </c>
      <c r="F27" s="146">
        <f>E27*G27</f>
        <v>2976834524</v>
      </c>
      <c r="G27" s="196">
        <v>6686</v>
      </c>
      <c r="H27" s="174">
        <f>(G27*0.614)/1000/0.9375</f>
        <v>4.3788842666666659</v>
      </c>
      <c r="I27" s="124">
        <v>0</v>
      </c>
      <c r="J27" s="19">
        <f>I27*K27</f>
        <v>0</v>
      </c>
      <c r="K27" s="19">
        <v>0</v>
      </c>
      <c r="L27" s="94">
        <f t="shared" si="1"/>
        <v>2342</v>
      </c>
      <c r="M27" s="125">
        <f>0</f>
        <v>0</v>
      </c>
      <c r="N27" s="144">
        <f>E27+I32</f>
        <v>565484</v>
      </c>
      <c r="O27" s="146">
        <f>F27+J32+L32*I32</f>
        <v>3564360961</v>
      </c>
      <c r="P27" s="146">
        <f>O27/N27</f>
        <v>6303.2039120470254</v>
      </c>
      <c r="Q27" s="148">
        <f>(P27*0.614)/1000/0.9375</f>
        <v>4.1281783487966655</v>
      </c>
      <c r="R27" s="91">
        <v>2745</v>
      </c>
      <c r="S27" s="38"/>
      <c r="T27" s="39"/>
      <c r="U27" s="38">
        <v>2342</v>
      </c>
      <c r="V27" s="34">
        <f t="shared" si="0"/>
        <v>5087</v>
      </c>
      <c r="W27" s="34"/>
      <c r="X27" s="35">
        <f>(V27*0.72)/1000/0.9375</f>
        <v>3.9068159999999996</v>
      </c>
      <c r="Y27" s="235">
        <v>4.08</v>
      </c>
      <c r="Z27" s="35">
        <v>0</v>
      </c>
      <c r="AA27" s="237">
        <f>(X28*Z28+X29*Z29+X30*Z30+X31*Z31)/Z32</f>
        <v>3.9281152235872234</v>
      </c>
      <c r="AB27" s="239" t="s">
        <v>66</v>
      </c>
    </row>
    <row r="28" spans="1:28" ht="24" x14ac:dyDescent="0.25">
      <c r="A28" s="232"/>
      <c r="B28" s="234"/>
      <c r="C28" s="18" t="s">
        <v>46</v>
      </c>
      <c r="D28" s="100"/>
      <c r="E28" s="145"/>
      <c r="F28" s="147"/>
      <c r="G28" s="197"/>
      <c r="H28" s="175"/>
      <c r="I28" s="124">
        <v>7639</v>
      </c>
      <c r="J28" s="19">
        <v>23100000</v>
      </c>
      <c r="K28" s="31">
        <f>J28/I28</f>
        <v>3023.9560151852338</v>
      </c>
      <c r="L28" s="94">
        <f t="shared" si="1"/>
        <v>1708</v>
      </c>
      <c r="M28" s="125">
        <f>L28+K28</f>
        <v>4731.9560151852338</v>
      </c>
      <c r="N28" s="145"/>
      <c r="O28" s="147"/>
      <c r="P28" s="147"/>
      <c r="Q28" s="149"/>
      <c r="R28" s="91">
        <v>3368</v>
      </c>
      <c r="S28" s="38">
        <v>10</v>
      </c>
      <c r="T28" s="39">
        <v>815</v>
      </c>
      <c r="U28" s="38">
        <v>1708</v>
      </c>
      <c r="V28" s="34">
        <f t="shared" si="0"/>
        <v>5076</v>
      </c>
      <c r="W28" s="34">
        <v>3600</v>
      </c>
      <c r="X28" s="35">
        <f>(V28*0.67)/1000/0.9375</f>
        <v>3.6276480000000002</v>
      </c>
      <c r="Y28" s="236"/>
      <c r="Z28" s="35">
        <v>1</v>
      </c>
      <c r="AA28" s="238"/>
      <c r="AB28" s="240"/>
    </row>
    <row r="29" spans="1:28" ht="24" x14ac:dyDescent="0.25">
      <c r="A29" s="232"/>
      <c r="B29" s="234"/>
      <c r="C29" s="18" t="s">
        <v>58</v>
      </c>
      <c r="D29" s="100"/>
      <c r="E29" s="145"/>
      <c r="F29" s="147"/>
      <c r="G29" s="197"/>
      <c r="H29" s="175"/>
      <c r="I29" s="124">
        <v>20002</v>
      </c>
      <c r="J29" s="19">
        <v>58000000</v>
      </c>
      <c r="K29" s="31">
        <f t="shared" ref="K29:K32" si="9">J29/I29</f>
        <v>2899.7100289971004</v>
      </c>
      <c r="L29" s="94">
        <f t="shared" si="1"/>
        <v>2215</v>
      </c>
      <c r="M29" s="125">
        <f t="shared" ref="M29:M32" si="10">L29+K29</f>
        <v>5114.7100289971004</v>
      </c>
      <c r="N29" s="145"/>
      <c r="O29" s="147"/>
      <c r="P29" s="147"/>
      <c r="Q29" s="149"/>
      <c r="R29" s="91">
        <v>2700</v>
      </c>
      <c r="S29" s="38">
        <v>10</v>
      </c>
      <c r="T29" s="39">
        <v>1101</v>
      </c>
      <c r="U29" s="38">
        <v>2215</v>
      </c>
      <c r="V29" s="34">
        <f>U29+R29</f>
        <v>4915</v>
      </c>
      <c r="W29" s="34">
        <v>3400</v>
      </c>
      <c r="X29" s="35">
        <f>(V29*0.681)/1000/0.9375</f>
        <v>3.5702560000000001</v>
      </c>
      <c r="Y29" s="236"/>
      <c r="Z29" s="35">
        <v>7</v>
      </c>
      <c r="AA29" s="238"/>
      <c r="AB29" s="240"/>
    </row>
    <row r="30" spans="1:28" ht="24" x14ac:dyDescent="0.25">
      <c r="A30" s="232"/>
      <c r="B30" s="234"/>
      <c r="C30" s="36" t="s">
        <v>52</v>
      </c>
      <c r="D30" s="100">
        <v>10.029999999999999</v>
      </c>
      <c r="E30" s="145"/>
      <c r="F30" s="147"/>
      <c r="G30" s="197"/>
      <c r="H30" s="175"/>
      <c r="I30" s="124">
        <v>15435</v>
      </c>
      <c r="J30" s="19">
        <v>52700000</v>
      </c>
      <c r="K30" s="31">
        <f t="shared" si="9"/>
        <v>3414.3181081956591</v>
      </c>
      <c r="L30" s="94">
        <f t="shared" si="1"/>
        <v>2215</v>
      </c>
      <c r="M30" s="125">
        <f t="shared" si="10"/>
        <v>5629.3181081956591</v>
      </c>
      <c r="N30" s="145"/>
      <c r="O30" s="147"/>
      <c r="P30" s="147"/>
      <c r="Q30" s="149"/>
      <c r="R30" s="91">
        <v>4861</v>
      </c>
      <c r="S30" s="38">
        <v>10</v>
      </c>
      <c r="T30" s="39">
        <v>1111</v>
      </c>
      <c r="U30" s="38">
        <v>2215</v>
      </c>
      <c r="V30" s="37">
        <f t="shared" si="0"/>
        <v>7076</v>
      </c>
      <c r="W30" s="37">
        <v>4100</v>
      </c>
      <c r="X30" s="35">
        <f>(V30*0.65)/1000/0.9375</f>
        <v>4.9060266666666665</v>
      </c>
      <c r="Y30" s="236"/>
      <c r="Z30" s="35">
        <f>D30-3.5</f>
        <v>6.5299999999999994</v>
      </c>
      <c r="AA30" s="238"/>
      <c r="AB30" s="240"/>
    </row>
    <row r="31" spans="1:28" ht="24" x14ac:dyDescent="0.25">
      <c r="A31" s="232"/>
      <c r="B31" s="234"/>
      <c r="C31" s="18" t="s">
        <v>61</v>
      </c>
      <c r="D31" s="100">
        <v>27.17</v>
      </c>
      <c r="E31" s="145"/>
      <c r="F31" s="147"/>
      <c r="G31" s="197"/>
      <c r="H31" s="175"/>
      <c r="I31" s="124">
        <v>77174</v>
      </c>
      <c r="J31" s="19">
        <v>184300000</v>
      </c>
      <c r="K31" s="31">
        <f t="shared" si="9"/>
        <v>2388.1099852281855</v>
      </c>
      <c r="L31" s="94">
        <f t="shared" si="1"/>
        <v>2305</v>
      </c>
      <c r="M31" s="125">
        <f t="shared" si="10"/>
        <v>4693.1099852281859</v>
      </c>
      <c r="N31" s="145"/>
      <c r="O31" s="147"/>
      <c r="P31" s="147"/>
      <c r="Q31" s="149"/>
      <c r="R31" s="91">
        <f>2350+650</f>
        <v>3000</v>
      </c>
      <c r="S31" s="38">
        <v>10</v>
      </c>
      <c r="T31" s="39">
        <v>1167</v>
      </c>
      <c r="U31" s="38">
        <v>2305</v>
      </c>
      <c r="V31" s="34">
        <f t="shared" si="0"/>
        <v>5305</v>
      </c>
      <c r="W31" s="34">
        <v>3600</v>
      </c>
      <c r="X31" s="35">
        <f>(V31*0.67)/1000/0.9375</f>
        <v>3.7913066666666668</v>
      </c>
      <c r="Y31" s="236"/>
      <c r="Z31" s="35">
        <v>26.17</v>
      </c>
      <c r="AA31" s="238"/>
      <c r="AB31" s="240"/>
    </row>
    <row r="32" spans="1:28" ht="24" x14ac:dyDescent="0.25">
      <c r="A32" s="232"/>
      <c r="B32" s="234"/>
      <c r="C32" s="30"/>
      <c r="D32" s="106">
        <f>SUM(D27:D31)</f>
        <v>48.25</v>
      </c>
      <c r="E32" s="145"/>
      <c r="F32" s="147"/>
      <c r="G32" s="197"/>
      <c r="H32" s="176"/>
      <c r="I32" s="124">
        <f>SUM(I27:I31)</f>
        <v>120250</v>
      </c>
      <c r="J32" s="19">
        <f>SUM(J27:J31)</f>
        <v>318100000</v>
      </c>
      <c r="K32" s="31">
        <f t="shared" si="9"/>
        <v>2645.3222453222452</v>
      </c>
      <c r="L32" s="94">
        <f>(L28*I28+L29*I29+L30*I30+L31*I31)/I32</f>
        <v>2240.5524906444907</v>
      </c>
      <c r="M32" s="129">
        <f t="shared" si="10"/>
        <v>4885.8747359667359</v>
      </c>
      <c r="N32" s="145"/>
      <c r="O32" s="147"/>
      <c r="P32" s="147"/>
      <c r="Q32" s="150"/>
      <c r="R32" s="140">
        <f>(D27*R27+D30*R30+D31*R31)/D32</f>
        <v>3328.4576165803114</v>
      </c>
      <c r="S32" s="79"/>
      <c r="T32" s="80">
        <v>1120</v>
      </c>
      <c r="U32" s="79">
        <f>(D27*U27+D30*U30+D31*U31)/D32</f>
        <v>2294.7647668393784</v>
      </c>
      <c r="V32" s="81">
        <f t="shared" si="0"/>
        <v>5623.2223834196902</v>
      </c>
      <c r="W32" s="81"/>
      <c r="X32" s="82">
        <f>(V32*0.68)/1000/0.9375</f>
        <v>4.0787106354404159</v>
      </c>
      <c r="Y32" s="236"/>
      <c r="Z32" s="82">
        <f>Z28+Z29+Z30+Z31</f>
        <v>40.700000000000003</v>
      </c>
      <c r="AA32" s="238"/>
      <c r="AB32" s="240"/>
    </row>
    <row r="33" spans="1:30" ht="24.75" thickBot="1" x14ac:dyDescent="0.3">
      <c r="A33" s="83"/>
      <c r="B33" s="18"/>
      <c r="C33" s="18"/>
      <c r="D33" s="100"/>
      <c r="E33" s="115">
        <f>SUM(E5:E32)</f>
        <v>3038299.7300000004</v>
      </c>
      <c r="F33" s="116">
        <f>SUM(F5:F32)</f>
        <v>13221106992.0256</v>
      </c>
      <c r="G33" s="117">
        <f>F33/E33</f>
        <v>4351.4821337345802</v>
      </c>
      <c r="H33" s="118"/>
      <c r="I33" s="115">
        <f>SUM(I5:I32)</f>
        <v>3753330</v>
      </c>
      <c r="J33" s="116">
        <f>SUM(J5:J32)</f>
        <v>10947000000</v>
      </c>
      <c r="K33" s="130"/>
      <c r="L33" s="131">
        <f t="shared" si="1"/>
        <v>0</v>
      </c>
      <c r="M33" s="132"/>
      <c r="N33" s="115">
        <f>SUM(N5:N32)</f>
        <v>5442755.7299999995</v>
      </c>
      <c r="O33" s="116">
        <f>SUM(O5:O32)</f>
        <v>21998200145.625603</v>
      </c>
      <c r="P33" s="117">
        <f>O33/N33</f>
        <v>4041.739375583847</v>
      </c>
      <c r="Q33" s="118"/>
      <c r="R33" s="90"/>
      <c r="S33" s="32"/>
      <c r="T33" s="33"/>
      <c r="U33" s="32"/>
      <c r="V33" s="34"/>
      <c r="W33" s="34"/>
      <c r="X33" s="42"/>
      <c r="Y33" s="84"/>
      <c r="Z33" s="42"/>
      <c r="AA33" s="35"/>
      <c r="AB33" s="85"/>
    </row>
    <row r="34" spans="1:30" ht="16.5" thickBot="1" x14ac:dyDescent="0.3">
      <c r="A34" s="213" t="s">
        <v>67</v>
      </c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214"/>
      <c r="S34" s="214"/>
      <c r="T34" s="214"/>
      <c r="U34" s="214"/>
      <c r="V34" s="214"/>
      <c r="W34" s="214"/>
      <c r="X34" s="214"/>
      <c r="Y34" s="214"/>
      <c r="Z34" s="214"/>
      <c r="AA34" s="214"/>
      <c r="AB34" s="215"/>
      <c r="AD34" s="70"/>
    </row>
    <row r="35" spans="1:30" ht="16.5" thickBot="1" x14ac:dyDescent="0.3">
      <c r="A35" s="216" t="s">
        <v>68</v>
      </c>
      <c r="B35" s="217"/>
      <c r="C35" s="217"/>
      <c r="D35" s="217"/>
      <c r="E35" s="217"/>
      <c r="F35" s="217"/>
      <c r="G35" s="217"/>
      <c r="H35" s="217"/>
      <c r="I35" s="217"/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7"/>
      <c r="AB35" s="218"/>
    </row>
    <row r="36" spans="1:30" x14ac:dyDescent="0.25">
      <c r="Z36" s="71">
        <f>Z32+Z26+Z21+Z16+Z13</f>
        <v>152.84</v>
      </c>
    </row>
    <row r="37" spans="1:30" x14ac:dyDescent="0.25">
      <c r="D37">
        <f>D12+D16+D21+D26+D32</f>
        <v>163.89</v>
      </c>
    </row>
    <row r="38" spans="1:30" x14ac:dyDescent="0.25">
      <c r="D38">
        <f>D37-D27</f>
        <v>152.83999999999997</v>
      </c>
    </row>
  </sheetData>
  <mergeCells count="89">
    <mergeCell ref="A10:A13"/>
    <mergeCell ref="B10:B13"/>
    <mergeCell ref="Y10:Y13"/>
    <mergeCell ref="AA10:AA13"/>
    <mergeCell ref="AB10:AB13"/>
    <mergeCell ref="A1:AB1"/>
    <mergeCell ref="A2:D2"/>
    <mergeCell ref="R2:AA2"/>
    <mergeCell ref="AB6:AB9"/>
    <mergeCell ref="A7:A9"/>
    <mergeCell ref="A14:A15"/>
    <mergeCell ref="B14:B15"/>
    <mergeCell ref="Y14:Y16"/>
    <mergeCell ref="AA14:AA16"/>
    <mergeCell ref="AB14:AB21"/>
    <mergeCell ref="A17:A21"/>
    <mergeCell ref="B17:B21"/>
    <mergeCell ref="Y17:Y21"/>
    <mergeCell ref="AA17:AA21"/>
    <mergeCell ref="E17:E21"/>
    <mergeCell ref="F17:F21"/>
    <mergeCell ref="G17:G21"/>
    <mergeCell ref="I14:I16"/>
    <mergeCell ref="J14:J16"/>
    <mergeCell ref="K14:K16"/>
    <mergeCell ref="A34:AB34"/>
    <mergeCell ref="A35:AB35"/>
    <mergeCell ref="A22:A26"/>
    <mergeCell ref="B22:B26"/>
    <mergeCell ref="Y22:Y26"/>
    <mergeCell ref="AA22:AA26"/>
    <mergeCell ref="AB22:AB26"/>
    <mergeCell ref="A27:A32"/>
    <mergeCell ref="B27:B32"/>
    <mergeCell ref="Y27:Y32"/>
    <mergeCell ref="AA27:AA32"/>
    <mergeCell ref="AB27:AB32"/>
    <mergeCell ref="E22:E26"/>
    <mergeCell ref="F22:F26"/>
    <mergeCell ref="G22:G26"/>
    <mergeCell ref="E27:E32"/>
    <mergeCell ref="F27:F32"/>
    <mergeCell ref="G27:G32"/>
    <mergeCell ref="E2:H3"/>
    <mergeCell ref="I2:K3"/>
    <mergeCell ref="H7:H9"/>
    <mergeCell ref="H10:H13"/>
    <mergeCell ref="H14:H16"/>
    <mergeCell ref="E14:E16"/>
    <mergeCell ref="F14:F16"/>
    <mergeCell ref="G14:G16"/>
    <mergeCell ref="E6:E9"/>
    <mergeCell ref="F6:F9"/>
    <mergeCell ref="G6:G9"/>
    <mergeCell ref="E10:E13"/>
    <mergeCell ref="F10:F13"/>
    <mergeCell ref="G10:G13"/>
    <mergeCell ref="H22:H26"/>
    <mergeCell ref="H27:H32"/>
    <mergeCell ref="H17:H21"/>
    <mergeCell ref="N2:Q3"/>
    <mergeCell ref="N6:N9"/>
    <mergeCell ref="O6:O9"/>
    <mergeCell ref="P6:P9"/>
    <mergeCell ref="Q7:Q9"/>
    <mergeCell ref="O10:O13"/>
    <mergeCell ref="P10:P13"/>
    <mergeCell ref="Q10:Q13"/>
    <mergeCell ref="N14:N16"/>
    <mergeCell ref="O14:O16"/>
    <mergeCell ref="P14:P16"/>
    <mergeCell ref="Q14:Q16"/>
    <mergeCell ref="N10:N13"/>
    <mergeCell ref="N27:N32"/>
    <mergeCell ref="O27:O32"/>
    <mergeCell ref="P27:P32"/>
    <mergeCell ref="Q27:Q32"/>
    <mergeCell ref="I6:I7"/>
    <mergeCell ref="J6:J7"/>
    <mergeCell ref="K6:K7"/>
    <mergeCell ref="M6:M7"/>
    <mergeCell ref="N17:N21"/>
    <mergeCell ref="O17:O21"/>
    <mergeCell ref="P17:P21"/>
    <mergeCell ref="Q17:Q21"/>
    <mergeCell ref="N22:N26"/>
    <mergeCell ref="O22:O26"/>
    <mergeCell ref="P22:P26"/>
    <mergeCell ref="Q22:Q26"/>
  </mergeCells>
  <pageMargins left="0.7" right="0.7" top="0.75" bottom="0.75" header="0.3" footer="0.3"/>
  <pageSetup scale="43" orientation="landscape" r:id="rId1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UPRVUNL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 Fuel LUCKNOW</dc:creator>
  <cp:lastModifiedBy>SE Fuel LUCKNOW</cp:lastModifiedBy>
  <cp:lastPrinted>2026-05-13T22:38:07Z</cp:lastPrinted>
  <dcterms:created xsi:type="dcterms:W3CDTF">2026-04-06T21:09:36Z</dcterms:created>
  <dcterms:modified xsi:type="dcterms:W3CDTF">2026-05-13T22:38:11Z</dcterms:modified>
</cp:coreProperties>
</file>